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78b17972e4d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f0ab56704bd24ce0"/>
    <x:sheet xmlns:r="http://schemas.openxmlformats.org/officeDocument/2006/relationships" name="Pedidos origen" sheetId="2" r:id="R4f1b1075dd584286"/>
    <x:sheet xmlns:r="http://schemas.openxmlformats.org/officeDocument/2006/relationships" name="Condiciones" sheetId="3" r:id="R5deb1923d97a4c4b"/>
    <x:sheet xmlns:r="http://schemas.openxmlformats.org/officeDocument/2006/relationships" name="Evolución" sheetId="4" r:id="R25cbab35bedd4a8c"/>
    <x:sheet xmlns:r="http://schemas.openxmlformats.org/officeDocument/2006/relationships" name="Método y fuentes" sheetId="5" r:id="R40b6b9aca50d4b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"/>
    <x:numFmt numFmtId="202" formatCode="#,##0.00"/>
    <x:numFmt numFmtId="203" formatCode="dd/mm/yyyy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AF5"/>
      </x:patternFill>
    </x:fill>
    <x:fill>
      <x:patternFill patternType="solid">
        <x:fgColor rgb="FFF2F7FB"/>
      </x:patternFill>
    </x:fill>
  </x:fills>
  <x:borders count="2">
    <x:border/>
    <x:border>
      <x:left style="thin">
        <x:color rgb="FFCAD7E2"/>
      </x:left>
      <x:right style="thin">
        <x:color rgb="FFCAD7E2"/>
      </x:right>
      <x:top style="thin">
        <x:color rgb="FFCAD7E2"/>
      </x:top>
      <x:bottom style="thin">
        <x:color rgb="FFCAD7E2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0" fontId="0" fillId="4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4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b67a95b69a481f" /><Relationship Type="http://schemas.openxmlformats.org/officeDocument/2006/relationships/theme" Target="/xl/theme/theme1.xml" Id="Rd2e34eb8467e4378" /><Relationship Type="http://schemas.openxmlformats.org/officeDocument/2006/relationships/sharedStrings" Target="/xl/sharedStrings.xml" Id="Rbdb9ab79d7fb4e14" /><Relationship Type="http://schemas.openxmlformats.org/officeDocument/2006/relationships/worksheet" Target="/xl/worksheets/sheet1.xml" Id="Rf0ab56704bd24ce0" /><Relationship Type="http://schemas.openxmlformats.org/officeDocument/2006/relationships/worksheet" Target="/xl/worksheets/sheet2.xml" Id="R4f1b1075dd584286" /><Relationship Type="http://schemas.openxmlformats.org/officeDocument/2006/relationships/worksheet" Target="/xl/worksheets/sheet3.xml" Id="R5deb1923d97a4c4b" /><Relationship Type="http://schemas.openxmlformats.org/officeDocument/2006/relationships/worksheet" Target="/xl/worksheets/sheet4.xml" Id="R25cbab35bedd4a8c" /><Relationship Type="http://schemas.openxmlformats.org/officeDocument/2006/relationships/worksheet" Target="/xl/worksheets/sheet5.xml" Id="R40b6b9aca50d4b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ae5e1f681114b48" /><Relationship Type="http://schemas.openxmlformats.org/officeDocument/2006/relationships/chart" Target="/xl/drawings/charts/chart2.xml" Id="R00a9fc89db044ed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d68619c3d1c4b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Entrega a tiempo frente al SLA (%)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 tiempo (%)</c:v>
          </c:tx>
          <c:cat>
            <c:strRef>
              <c:f>'Resumen'!$A$5:$A$9</c:f>
              <c:strCache>
                <c:ptCount val="0"/>
              </c:strCache>
            </c:strRef>
          </c:cat>
          <c:val>
            <c:numRef>
              <c:f>'Resumen'!$E$5:$E$9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SLA entrega (%)</c:v>
          </c:tx>
          <c:cat>
            <c:strRef>
              <c:f>'Resumen'!$A$5:$A$9</c:f>
              <c:strCache>
                <c:ptCount val="0"/>
              </c:strCache>
            </c:strRef>
          </c:cat>
          <c:val>
            <c:numRef>
              <c:f>'Resumen'!$F$5:$F$9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Rechazo observado frente al máximo (%)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Tasa rechazo (%)</c:v>
          </c:tx>
          <c:cat>
            <c:strRef>
              <c:f>'Resumen'!$A$5:$A$9</c:f>
              <c:strCache>
                <c:ptCount val="0"/>
              </c:strCache>
            </c:strRef>
          </c:cat>
          <c:val>
            <c:numRef>
              <c:f>'Resumen'!$J$5:$J$9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Máximo rechazo contrato (%)</c:v>
          </c:tx>
          <c:cat>
            <c:strRef>
              <c:f>'Resumen'!$A$5:$A$9</c:f>
              <c:strCache>
                <c:ptCount val="0"/>
              </c:strCache>
            </c:strRef>
          </c:cat>
          <c:val>
            <c:numRef>
              <c:f>'Resumen'!$K$5:$K$9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Entrega a tiempo por mes de pedido (%)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MetalNova</c:v>
          </c:tx>
          <c:marker>
            <c:symbol val="none"/>
          </c:marker>
          <c:cat>
            <c:strRef>
              <c:f>'Evolución'!$G$4:$G$6</c:f>
              <c:strCache>
                <c:ptCount val="0"/>
              </c:strCache>
            </c:strRef>
          </c:cat>
          <c:val>
            <c:numRef>
              <c:f>'Evolución'!$H$4:$H$6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PackPro</c:v>
          </c:tx>
          <c:marker>
            <c:symbol val="none"/>
          </c:marker>
          <c:cat>
            <c:strRef>
              <c:f>'Evolución'!$G$4:$G$6</c:f>
              <c:strCache>
                <c:ptCount val="0"/>
              </c:strCache>
            </c:strRef>
          </c:cat>
          <c:val>
            <c:numRef>
              <c:f>'Evolución'!$I$4:$I$6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ElectraSupply</c:v>
          </c:tx>
          <c:marker>
            <c:symbol val="none"/>
          </c:marker>
          <c:cat>
            <c:strRef>
              <c:f>'Evolución'!$G$4:$G$6</c:f>
              <c:strCache>
                <c:ptCount val="0"/>
              </c:strCache>
            </c:strRef>
          </c:cat>
          <c:val>
            <c:numRef>
              <c:f>'Evolución'!$J$4:$J$6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OfiPlus</c:v>
          </c:tx>
          <c:marker>
            <c:symbol val="none"/>
          </c:marker>
          <c:cat>
            <c:strRef>
              <c:f>'Evolución'!$G$4:$G$6</c:f>
              <c:strCache>
                <c:ptCount val="0"/>
              </c:strCache>
            </c:strRef>
          </c:cat>
          <c:val>
            <c:numRef>
              <c:f>'Evolución'!$K$4:$K$6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MecaParts</c:v>
          </c:tx>
          <c:marker>
            <c:symbol val="none"/>
          </c:marker>
          <c:cat>
            <c:strRef>
              <c:f>'Evolución'!$G$4:$G$6</c:f>
              <c:strCache>
                <c:ptCount val="0"/>
              </c:strCache>
            </c:strRef>
          </c:cat>
          <c:val>
            <c:numRef>
              <c:f>'Evolución'!$L$4:$L$6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e5e1f681114b48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a9fc89db044e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68619c3d1c4b0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8f25fc0092744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2dc6b18589e6444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7" hidden="0" customWidth="1"/>
    <x:col min="8" max="8" width="17" hidden="0" customWidth="1"/>
    <x:col min="9" max="9" width="17" hidden="0" customWidth="1"/>
    <x:col min="10" max="10" width="17" hidden="0" customWidth="1"/>
    <x:col min="11" max="11" width="24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>
      <x:c r="A1" s="4" t="str">
        <x:v>Evaluación de proveedores 2027</x:v>
      </x:c>
    </x:row>
    <x:row r="2">
      <x:c r="A2" t="str">
        <x:v>Servicio, calidad e incidencias: pedidos emitidos y recibidos del 01/07/2026 al 30/09/2026. Descuentos: gasto de 600 pedidos emitidos Q3.</x:v>
      </x:c>
    </x:row>
    <x:row r="4" ht="58" customHeight="1">
      <x:c r="A4" s="7" t="str">
        <x:v>Proveedor</x:v>
      </x:c>
      <x:c r="B4" s="7" t="str">
        <x:v>Decisión propuesta</x:v>
      </x:c>
      <x:c r="C4" s="7" t="str">
        <x:v>Pedidos base Q3</x:v>
      </x:c>
      <x:c r="D4" s="7" t="str">
        <x:v>Recepciones octubre</x:v>
      </x:c>
      <x:c r="E4" s="7" t="str">
        <x:v>A tiempo (%)</x:v>
      </x:c>
      <x:c r="F4" s="7" t="str">
        <x:v>SLA entrega (%)</x:v>
      </x:c>
      <x:c r="G4" s="7" t="str">
        <x:v>Diferencia con objetivo (pp)</x:v>
      </x:c>
      <x:c r="H4" s="7" t="str">
        <x:v>Unidades base Q3</x:v>
      </x:c>
      <x:c r="I4" s="7" t="str">
        <x:v>Rechazadas</x:v>
      </x:c>
      <x:c r="J4" s="7" t="str">
        <x:v>Tasa rechazo (%)</x:v>
      </x:c>
      <x:c r="K4" s="7" t="str">
        <x:v>Máximo rechazo contrato (%)</x:v>
      </x:c>
      <x:c r="L4" s="7" t="str">
        <x:v>Urgentes tarde</x:v>
      </x:c>
      <x:c r="M4" s="7" t="str">
        <x:v>Urgentes base Q3</x:v>
      </x:c>
      <x:c r="N4" s="7" t="str">
        <x:v>Gasto Q3 elegible €</x:v>
      </x:c>
      <x:c r="O4" s="7" t="str">
        <x:v>Umbral propuesto €</x:v>
      </x:c>
      <x:c r="P4" s="7" t="str">
        <x:v>Recepción 01–07/10</x:v>
      </x:c>
      <x:c r="Q4" s="7" t="str">
        <x:v>Recepción &gt;07/10</x:v>
      </x:c>
      <x:c r="R4" s="7" t="str">
        <x:v>Pedidos con incidencia Q3</x:v>
      </x:c>
    </x:row>
    <x:row r="5">
      <x:c r="A5" t="str">
        <x:v>MetalNova</x:v>
      </x:c>
      <x:c r="B5" t="str">
        <x:v>Renegociar</x:v>
      </x:c>
      <x:c r="C5" t="n">
        <x:f>COUNTIFS('Pedidos origen'!$C$2:$C$601,A5,'Pedidos origen'!$M$2:$M$601,1)</x:f>
        <x:v>120</x:v>
      </x:c>
      <x:c r="D5" t="n">
        <x:f>COUNTIF('Pedidos origen'!$C$2:$C$601,A5)-C5</x:f>
        <x:v>19</x:v>
      </x:c>
      <x:c r="E5" s="8" t="n">
        <x:f>SUMIF('Pedidos origen'!$C$2:$C$601,A5,'Pedidos origen'!$N$2:$N$601)/C5*100</x:f>
        <x:v>45</x:v>
      </x:c>
      <x:c r="F5" s="8" t="n">
        <x:f>'Condiciones'!C5</x:f>
        <x:v>95</x:v>
      </x:c>
      <x:c r="G5" s="8" t="n">
        <x:f>E5-F5</x:f>
        <x:v>-50</x:v>
      </x:c>
      <x:c r="H5" t="n">
        <x:f>SUMIFS('Pedidos origen'!$H$2:$H$601,'Pedidos origen'!$C$2:$C$601,A5,'Pedidos origen'!$M$2:$M$601,1)</x:f>
        <x:v>25169</x:v>
      </x:c>
      <x:c r="I5" t="n">
        <x:f>SUMIFS('Pedidos origen'!$I$2:$I$601,'Pedidos origen'!$C$2:$C$601,A5,'Pedidos origen'!$M$2:$M$601,1)</x:f>
        <x:v>280</x:v>
      </x:c>
      <x:c r="J5" s="9" t="n">
        <x:f>I5/H5*100</x:f>
        <x:v>1.1124796376494894</x:v>
      </x:c>
      <x:c r="K5" s="9" t="n">
        <x:f>'Condiciones'!D5</x:f>
        <x:v>2</x:v>
      </x:c>
      <x:c r="L5" t="n">
        <x:f>SUMIF('Pedidos origen'!$C$2:$C$601,A5,'Pedidos origen'!$O$2:$O$601)</x:f>
        <x:v>8</x:v>
      </x:c>
      <x:c r="M5" t="n">
        <x:f>COUNTIFS('Pedidos origen'!$C$2:$C$601,A5,'Pedidos origen'!$K$2:$K$601,"Sí",'Pedidos origen'!$M$2:$M$601,1)</x:f>
        <x:v>11</x:v>
      </x:c>
      <x:c r="N5" s="10" t="n">
        <x:f>'Condiciones'!L5</x:f>
        <x:v>379858.36</x:v>
      </x:c>
      <x:c r="O5" s="10" t="n">
        <x:f>'Condiciones'!M5</x:f>
        <x:v>370000</x:v>
      </x:c>
      <x:c r="P5" t="n">
        <x:f>SUMIF('Pedidos origen'!$C$2:$C$601,A5,'Pedidos origen'!$Q$2:$Q$601)</x:f>
        <x:v>15</x:v>
      </x:c>
      <x:c r="Q5" t="n">
        <x:f>SUMIF('Pedidos origen'!$C$2:$C$601,A5,'Pedidos origen'!$R$2:$R$601)</x:f>
        <x:v>4</x:v>
      </x:c>
      <x:c r="R5" t="n">
        <x:f>SUMIF('Pedidos origen'!$C$2:$C$601,A5,'Pedidos origen'!$S$2:$S$601)</x:f>
        <x:v>31</x:v>
      </x:c>
    </x:row>
    <x:row r="6">
      <x:c r="A6" t="str">
        <x:v>PackPro</x:v>
      </x:c>
      <x:c r="B6" t="str">
        <x:v>Renegociar</x:v>
      </x:c>
      <x:c r="C6" t="n">
        <x:f>COUNTIFS('Pedidos origen'!$C$2:$C$601,A6,'Pedidos origen'!$M$2:$M$601,1)</x:f>
        <x:v>100</x:v>
      </x:c>
      <x:c r="D6" t="n">
        <x:f>COUNTIF('Pedidos origen'!$C$2:$C$601,A6)-C6</x:f>
        <x:v>8</x:v>
      </x:c>
      <x:c r="E6" s="8" t="n">
        <x:f>SUMIF('Pedidos origen'!$C$2:$C$601,A6,'Pedidos origen'!$N$2:$N$601)/C6*100</x:f>
        <x:v>37</x:v>
      </x:c>
      <x:c r="F6" s="8" t="n">
        <x:f>'Condiciones'!C6</x:f>
        <x:v>96</x:v>
      </x:c>
      <x:c r="G6" s="8" t="n">
        <x:f>E6-F6</x:f>
        <x:v>-59</x:v>
      </x:c>
      <x:c r="H6" t="n">
        <x:f>SUMIFS('Pedidos origen'!$H$2:$H$601,'Pedidos origen'!$C$2:$C$601,A6,'Pedidos origen'!$M$2:$M$601,1)</x:f>
        <x:v>20571</x:v>
      </x:c>
      <x:c r="I6" t="n">
        <x:f>SUMIFS('Pedidos origen'!$I$2:$I$601,'Pedidos origen'!$C$2:$C$601,A6,'Pedidos origen'!$M$2:$M$601,1)</x:f>
        <x:v>138</x:v>
      </x:c>
      <x:c r="J6" s="9" t="n">
        <x:f>I6/H6*100</x:f>
        <x:v>0.6708473093189442</x:v>
      </x:c>
      <x:c r="K6" s="9" t="n">
        <x:f>'Condiciones'!D6</x:f>
        <x:v>1.5</x:v>
      </x:c>
      <x:c r="L6" t="n">
        <x:f>SUMIF('Pedidos origen'!$C$2:$C$601,A6,'Pedidos origen'!$O$2:$O$601)</x:f>
        <x:v>5</x:v>
      </x:c>
      <x:c r="M6" t="n">
        <x:f>COUNTIFS('Pedidos origen'!$C$2:$C$601,A6,'Pedidos origen'!$K$2:$K$601,"Sí",'Pedidos origen'!$M$2:$M$601,1)</x:f>
        <x:v>8</x:v>
      </x:c>
      <x:c r="N6" s="10" t="n">
        <x:f>'Condiciones'!L6</x:f>
        <x:v>638637.07</x:v>
      </x:c>
      <x:c r="O6" s="10" t="n">
        <x:f>'Condiciones'!M6</x:f>
        <x:v>630000</x:v>
      </x:c>
      <x:c r="P6" t="n">
        <x:f>SUMIF('Pedidos origen'!$C$2:$C$601,A6,'Pedidos origen'!$Q$2:$Q$601)</x:f>
        <x:v>6</x:v>
      </x:c>
      <x:c r="Q6" t="n">
        <x:f>SUMIF('Pedidos origen'!$C$2:$C$601,A6,'Pedidos origen'!$R$2:$R$601)</x:f>
        <x:v>2</x:v>
      </x:c>
      <x:c r="R6" t="n">
        <x:f>SUMIF('Pedidos origen'!$C$2:$C$601,A6,'Pedidos origen'!$S$2:$S$601)</x:f>
        <x:v>30</x:v>
      </x:c>
    </x:row>
    <x:row r="7">
      <x:c r="A7" t="str">
        <x:v>ElectraSupply</x:v>
      </x:c>
      <x:c r="B7" t="str">
        <x:v>Buscar una alternativa</x:v>
      </x:c>
      <x:c r="C7" t="n">
        <x:f>COUNTIFS('Pedidos origen'!$C$2:$C$601,A7,'Pedidos origen'!$M$2:$M$601,1)</x:f>
        <x:v>101</x:v>
      </x:c>
      <x:c r="D7" t="n">
        <x:f>COUNTIF('Pedidos origen'!$C$2:$C$601,A7)-C7</x:f>
        <x:v>26</x:v>
      </x:c>
      <x:c r="E7" s="8" t="n">
        <x:f>SUMIF('Pedidos origen'!$C$2:$C$601,A7,'Pedidos origen'!$N$2:$N$601)/C7*100</x:f>
        <x:v>3.9603960396039604</x:v>
      </x:c>
      <x:c r="F7" s="8" t="n">
        <x:f>'Condiciones'!C7</x:f>
        <x:v>97</x:v>
      </x:c>
      <x:c r="G7" s="8" t="n">
        <x:f>E7-F7</x:f>
        <x:v>-93.03960396039604</x:v>
      </x:c>
      <x:c r="H7" t="n">
        <x:f>SUMIFS('Pedidos origen'!$H$2:$H$601,'Pedidos origen'!$C$2:$C$601,A7,'Pedidos origen'!$M$2:$M$601,1)</x:f>
        <x:v>20639</x:v>
      </x:c>
      <x:c r="I7" t="n">
        <x:f>SUMIFS('Pedidos origen'!$I$2:$I$601,'Pedidos origen'!$C$2:$C$601,A7,'Pedidos origen'!$M$2:$M$601,1)</x:f>
        <x:v>137</x:v>
      </x:c>
      <x:c r="J7" s="9" t="n">
        <x:f>I7/H7*100</x:f>
        <x:v>0.6637918503803478</x:v>
      </x:c>
      <x:c r="K7" s="9" t="n">
        <x:f>'Condiciones'!D7</x:f>
        <x:v>1</x:v>
      </x:c>
      <x:c r="L7" t="n">
        <x:f>SUMIF('Pedidos origen'!$C$2:$C$601,A7,'Pedidos origen'!$O$2:$O$601)</x:f>
        <x:v>11</x:v>
      </x:c>
      <x:c r="M7" t="n">
        <x:f>COUNTIFS('Pedidos origen'!$C$2:$C$601,A7,'Pedidos origen'!$K$2:$K$601,"Sí",'Pedidos origen'!$M$2:$M$601,1)</x:f>
        <x:v>11</x:v>
      </x:c>
      <x:c r="N7" s="10" t="n">
        <x:f>'Condiciones'!L7</x:f>
        <x:v>747584.14</x:v>
      </x:c>
      <x:c r="O7" s="10" t="n">
        <x:f>'Condiciones'!M7</x:f>
        <x:v>740000</x:v>
      </x:c>
      <x:c r="P7" t="n">
        <x:f>SUMIF('Pedidos origen'!$C$2:$C$601,A7,'Pedidos origen'!$Q$2:$Q$601)</x:f>
        <x:v>11</x:v>
      </x:c>
      <x:c r="Q7" t="n">
        <x:f>SUMIF('Pedidos origen'!$C$2:$C$601,A7,'Pedidos origen'!$R$2:$R$601)</x:f>
        <x:v>15</x:v>
      </x:c>
      <x:c r="R7" t="n">
        <x:f>SUMIF('Pedidos origen'!$C$2:$C$601,A7,'Pedidos origen'!$S$2:$S$601)</x:f>
        <x:v>22</x:v>
      </x:c>
    </x:row>
    <x:row r="8">
      <x:c r="A8" t="str">
        <x:v>OfiPlus</x:v>
      </x:c>
      <x:c r="B8" t="str">
        <x:v>Renegociar</x:v>
      </x:c>
      <x:c r="C8" t="n">
        <x:f>COUNTIFS('Pedidos origen'!$C$2:$C$601,A8,'Pedidos origen'!$M$2:$M$601,1)</x:f>
        <x:v>74</x:v>
      </x:c>
      <x:c r="D8" t="n">
        <x:f>COUNTIF('Pedidos origen'!$C$2:$C$601,A8)-C8</x:f>
        <x:v>5</x:v>
      </x:c>
      <x:c r="E8" s="8" t="n">
        <x:f>SUMIF('Pedidos origen'!$C$2:$C$601,A8,'Pedidos origen'!$N$2:$N$601)/C8*100</x:f>
        <x:v>44.5945945945946</x:v>
      </x:c>
      <x:c r="F8" s="8" t="n">
        <x:f>'Condiciones'!C8</x:f>
        <x:v>94</x:v>
      </x:c>
      <x:c r="G8" s="8" t="n">
        <x:f>E8-F8</x:f>
        <x:v>-49.4054054054054</x:v>
      </x:c>
      <x:c r="H8" t="n">
        <x:f>SUMIFS('Pedidos origen'!$H$2:$H$601,'Pedidos origen'!$C$2:$C$601,A8,'Pedidos origen'!$M$2:$M$601,1)</x:f>
        <x:v>16898</x:v>
      </x:c>
      <x:c r="I8" t="n">
        <x:f>SUMIFS('Pedidos origen'!$I$2:$I$601,'Pedidos origen'!$C$2:$C$601,A8,'Pedidos origen'!$M$2:$M$601,1)</x:f>
        <x:v>68</x:v>
      </x:c>
      <x:c r="J8" s="9" t="n">
        <x:f>I8/H8*100</x:f>
        <x:v>0.4024144869215292</x:v>
      </x:c>
      <x:c r="K8" s="9" t="n">
        <x:f>'Condiciones'!D8</x:f>
        <x:v>2.5</x:v>
      </x:c>
      <x:c r="L8" t="n">
        <x:f>SUMIF('Pedidos origen'!$C$2:$C$601,A8,'Pedidos origen'!$O$2:$O$601)</x:f>
        <x:v>6</x:v>
      </x:c>
      <x:c r="M8" t="n">
        <x:f>COUNTIFS('Pedidos origen'!$C$2:$C$601,A8,'Pedidos origen'!$K$2:$K$601,"Sí",'Pedidos origen'!$M$2:$M$601,1)</x:f>
        <x:v>13</x:v>
      </x:c>
      <x:c r="N8" s="10" t="n">
        <x:f>'Condiciones'!L8</x:f>
        <x:v>461798.88</x:v>
      </x:c>
      <x:c r="O8" s="10" t="n">
        <x:f>'Condiciones'!M8</x:f>
        <x:v>460000</x:v>
      </x:c>
      <x:c r="P8" t="n">
        <x:f>SUMIF('Pedidos origen'!$C$2:$C$601,A8,'Pedidos origen'!$Q$2:$Q$601)</x:f>
        <x:v>3</x:v>
      </x:c>
      <x:c r="Q8" t="n">
        <x:f>SUMIF('Pedidos origen'!$C$2:$C$601,A8,'Pedidos origen'!$R$2:$R$601)</x:f>
        <x:v>2</x:v>
      </x:c>
      <x:c r="R8" t="n">
        <x:f>SUMIF('Pedidos origen'!$C$2:$C$601,A8,'Pedidos origen'!$S$2:$S$601)</x:f>
        <x:v>22</x:v>
      </x:c>
    </x:row>
    <x:row r="9">
      <x:c r="A9" t="str">
        <x:v>MecaParts</x:v>
      </x:c>
      <x:c r="B9" t="str">
        <x:v>Renegociar</x:v>
      </x:c>
      <x:c r="C9" t="n">
        <x:f>COUNTIFS('Pedidos origen'!$C$2:$C$601,A9,'Pedidos origen'!$M$2:$M$601,1)</x:f>
        <x:v>126</x:v>
      </x:c>
      <x:c r="D9" t="n">
        <x:f>COUNTIF('Pedidos origen'!$C$2:$C$601,A9)-C9</x:f>
        <x:v>21</x:v>
      </x:c>
      <x:c r="E9" s="8" t="n">
        <x:f>SUMIF('Pedidos origen'!$C$2:$C$601,A9,'Pedidos origen'!$N$2:$N$601)/C9*100</x:f>
        <x:v>41.269841269841265</x:v>
      </x:c>
      <x:c r="F9" s="8" t="n">
        <x:f>'Condiciones'!C9</x:f>
        <x:v>95</x:v>
      </x:c>
      <x:c r="G9" s="8" t="n">
        <x:f>E9-F9</x:f>
        <x:v>-53.730158730158735</x:v>
      </x:c>
      <x:c r="H9" t="n">
        <x:f>SUMIFS('Pedidos origen'!$H$2:$H$601,'Pedidos origen'!$C$2:$C$601,A9,'Pedidos origen'!$M$2:$M$601,1)</x:f>
        <x:v>27463</x:v>
      </x:c>
      <x:c r="I9" t="n">
        <x:f>SUMIFS('Pedidos origen'!$I$2:$I$601,'Pedidos origen'!$C$2:$C$601,A9,'Pedidos origen'!$M$2:$M$601,1)</x:f>
        <x:v>84</x:v>
      </x:c>
      <x:c r="J9" s="9" t="n">
        <x:f>I9/H9*100</x:f>
        <x:v>0.3058660743545861</x:v>
      </x:c>
      <x:c r="K9" s="9" t="n">
        <x:f>'Condiciones'!D9</x:f>
        <x:v>1.5</x:v>
      </x:c>
      <x:c r="L9" t="n">
        <x:f>SUMIF('Pedidos origen'!$C$2:$C$601,A9,'Pedidos origen'!$O$2:$O$601)</x:f>
        <x:v>11</x:v>
      </x:c>
      <x:c r="M9" t="n">
        <x:f>COUNTIFS('Pedidos origen'!$C$2:$C$601,A9,'Pedidos origen'!$K$2:$K$601,"Sí",'Pedidos origen'!$M$2:$M$601,1)</x:f>
        <x:v>16</x:v>
      </x:c>
      <x:c r="N9" s="10" t="n">
        <x:f>'Condiciones'!L9</x:f>
        <x:v>965038.39</x:v>
      </x:c>
      <x:c r="O9" s="10" t="n">
        <x:f>'Condiciones'!M9</x:f>
        <x:v>960000</x:v>
      </x:c>
      <x:c r="P9" t="n">
        <x:f>SUMIF('Pedidos origen'!$C$2:$C$601,A9,'Pedidos origen'!$Q$2:$Q$601)</x:f>
        <x:v>10</x:v>
      </x:c>
      <x:c r="Q9" t="n">
        <x:f>SUMIF('Pedidos origen'!$C$2:$C$601,A9,'Pedidos origen'!$R$2:$R$601)</x:f>
        <x:v>11</x:v>
      </x:c>
      <x:c r="R9" t="n">
        <x:f>SUMIF('Pedidos origen'!$C$2:$C$601,A9,'Pedidos origen'!$S$2:$S$601)</x:f>
        <x:v>37</x:v>
      </x:c>
    </x:row>
    <x:row r="11" ht="32" customHeight="1">
      <x:c r="A11" s="11" t="str">
        <x:v>Control: C suma 521; P suma 45; Q suma 34. C + P + Q = 600. Las 79 recepciones de octubre quedan fuera del servicio Q3.</x:v>
      </x:c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</x:row>
    <x:row r="12" ht="32" customHeight="1">
      <x:c r="A12" s="11" t="str">
        <x:v>Entrega = pedidos a tiempo / C; rechazo = unidades rechazadas / unidades de C; incidencias = R / C. Comparar recuentos con el volumen.</x:v>
      </x:c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</x:row>
    <x:row r="13" ht="32" customHeight="1">
      <x:c r="A13" s="11" t="str">
        <x:v>Umbrales: propuesta comercial basada en gasto de 600 pedidos emitidos Q3, aunque se recibieran en octubre. No son condiciones acordadas.</x:v>
      </x:c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</x:row>
    <x:row r="15" ht="32" customHeight="1">
      <x:c r="A15" s="7" t="str">
        <x:v>Control de bases</x:v>
      </x:c>
      <x:c r="B15" s="7" t="str">
        <x:v>Pedidos</x:v>
      </x:c>
    </x:row>
    <x:row r="16">
      <x:c r="A16" t="str">
        <x:v>Emitidos Q3</x:v>
      </x:c>
      <x:c r="B16" t="n">
        <x:f>COUNTA('Pedidos origen'!$A$2:$A$601)</x:f>
        <x:v>600</x:v>
      </x:c>
    </x:row>
    <x:row r="17">
      <x:c r="A17" t="str">
        <x:v>Base servicio Q3</x:v>
      </x:c>
      <x:c r="B17" t="n">
        <x:f>SUM(C5:C9)</x:f>
        <x:v>521</x:v>
      </x:c>
    </x:row>
    <x:row r="18">
      <x:c r="A18" t="str">
        <x:v>Recepción 01–07/10</x:v>
      </x:c>
      <x:c r="B18" t="n">
        <x:f>SUM(P5:P9)</x:f>
        <x:v>45</x:v>
      </x:c>
    </x:row>
    <x:row r="19">
      <x:c r="A19" t="str">
        <x:v>Recepción &gt;07/10</x:v>
      </x:c>
      <x:c r="B19" t="n">
        <x:f>SUM(Q5:Q9)</x:f>
        <x:v>34</x:v>
      </x:c>
    </x:row>
  </x:sheetData>
  <x:mergeCells>
    <x:mergeCell ref="A1:R1"/>
    <x:mergeCell ref="A11:R11"/>
    <x:mergeCell ref="A12:R12"/>
    <x:mergeCell ref="A13:R13"/>
  </x:mergeCells>
  <x:pageMargins left="0.7" right="0.7" top="0.75" bottom="0.75" header="0.3" footer="0.3"/>
  <x:drawing xmlns:r="http://schemas.openxmlformats.org/officeDocument/2006/relationships" r:id="R88f25fc00927446f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1" hidden="0" customWidth="1"/>
    <x:col min="11" max="11" width="17" hidden="0" customWidth="1"/>
    <x:col min="12" max="12" width="17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</x:cols>
  <x:sheetData>
    <x:row r="1" ht="32" customHeight="1">
      <x:c r="A1" s="7" t="str">
        <x:v>ID_Pedido</x:v>
      </x:c>
      <x:c r="B1" s="7" t="str">
        <x:v>Fecha_pedido</x:v>
      </x:c>
      <x:c r="C1" s="7" t="str">
        <x:v>Proveedor</x:v>
      </x:c>
      <x:c r="D1" s="7" t="str">
        <x:v>Categoria</x:v>
      </x:c>
      <x:c r="E1" s="7" t="str">
        <x:v>Importe_EUR</x:v>
      </x:c>
      <x:c r="F1" s="7" t="str">
        <x:v>Fecha_prevista</x:v>
      </x:c>
      <x:c r="G1" s="7" t="str">
        <x:v>Fecha_recepcion</x:v>
      </x:c>
      <x:c r="H1" s="7" t="str">
        <x:v>Unidades</x:v>
      </x:c>
      <x:c r="I1" s="7" t="str">
        <x:v>Unidades_rechazadas</x:v>
      </x:c>
      <x:c r="J1" s="7" t="str">
        <x:v>Incidencia</x:v>
      </x:c>
      <x:c r="K1" s="7" t="str">
        <x:v>Urgente</x:v>
      </x:c>
      <x:c r="L1" s="7" t="str">
        <x:v>Centro</x:v>
      </x:c>
      <x:c r="M1" s="7" t="str">
        <x:v>Base servicio Q3</x:v>
      </x:c>
      <x:c r="N1" s="7" t="str">
        <x:v>A tiempo Q3</x:v>
      </x:c>
      <x:c r="O1" s="7" t="str">
        <x:v>Urgente tarde Q3</x:v>
      </x:c>
      <x:c r="P1" s="7" t="str">
        <x:v>Pedido con rechazo Q3</x:v>
      </x:c>
      <x:c r="Q1" s="7" t="str">
        <x:v>Recepción 01–07/10</x:v>
      </x:c>
      <x:c r="R1" s="7" t="str">
        <x:v>Recepción &gt;07/10</x:v>
      </x:c>
      <x:c r="S1" s="7" t="str">
        <x:v>Incidencia Q3</x:v>
      </x:c>
    </x:row>
    <x:row r="2">
      <x:c r="A2" t="str">
        <x:v>PED-0001</x:v>
      </x:c>
      <x:c r="B2" s="12" t="n">
        <x:v>46229</x:v>
      </x:c>
      <x:c r="C2" t="str">
        <x:v>MecaParts</x:v>
      </x:c>
      <x:c r="D2" t="str">
        <x:v>Componentes mecánicos</x:v>
      </x:c>
      <x:c r="E2" s="10" t="n">
        <x:v>15855.63</x:v>
      </x:c>
      <x:c r="F2" s="12" t="n">
        <x:v>46238</x:v>
      </x:c>
      <x:c r="G2" s="12" t="n">
        <x:v>46240</x:v>
      </x:c>
      <x:c r="H2" t="n">
        <x:v>305</x:v>
      </x:c>
      <x:c r="I2" t="n">
        <x:v>0</x:v>
      </x:c>
      <x:c r="J2" t="str">
        <x:v>Ninguna</x:v>
      </x:c>
      <x:c r="K2" t="str">
        <x:v>No</x:v>
      </x:c>
      <x:c r="L2" t="str">
        <x:v>Valencia</x:v>
      </x:c>
      <x:c r="M2" t="n">
        <x:f>IF(AND(B2&gt;=DATE(2026,7,1),B2&lt;=DATE(2026,9,30),G2&gt;=DATE(2026,7,1),G2&lt;=DATE(2026,9,30)),1,0)</x:f>
        <x:v>1</x:v>
      </x:c>
      <x:c r="N2" t="n">
        <x:f>IF(M2=1,IF(G2&lt;=F2,1,0),0)</x:f>
        <x:v>0</x:v>
      </x:c>
      <x:c r="O2" t="n">
        <x:f>IF(AND(M2=1,K2="Sí",G2&gt;F2),1,0)</x:f>
        <x:v>0</x:v>
      </x:c>
      <x:c r="P2" t="n">
        <x:f>IF(AND(M2=1,I2&gt;0),1,0)</x:f>
        <x:v>0</x:v>
      </x:c>
      <x:c r="Q2" t="n">
        <x:f>IF(AND(B2&gt;=DATE(2026,7,1),B2&lt;=DATE(2026,9,30),G2&gt;=DATE(2026,10,1),G2&lt;=DATE(2026,10,7)),1,0)</x:f>
        <x:v>0</x:v>
      </x:c>
      <x:c r="R2" t="n">
        <x:f>IF(AND(B2&gt;=DATE(2026,7,1),B2&lt;=DATE(2026,9,30),G2&gt;DATE(2026,10,7)),1,0)</x:f>
        <x:v>0</x:v>
      </x:c>
      <x:c r="S2" t="n">
        <x:f>IF(AND(M2=1,J2&lt;&gt;"Ninguna"),1,0)</x:f>
        <x:v>0</x:v>
      </x:c>
    </x:row>
    <x:row r="3">
      <x:c r="A3" t="str">
        <x:v>PED-0002</x:v>
      </x:c>
      <x:c r="B3" s="12" t="n">
        <x:v>46239</x:v>
      </x:c>
      <x:c r="C3" t="str">
        <x:v>OfiPlus</x:v>
      </x:c>
      <x:c r="D3" t="str">
        <x:v>Consumibles</x:v>
      </x:c>
      <x:c r="E3" s="10" t="n">
        <x:v>11818.82</x:v>
      </x:c>
      <x:c r="F3" s="12" t="n">
        <x:v>46242</x:v>
      </x:c>
      <x:c r="G3" s="12" t="n">
        <x:v>46247</x:v>
      </x:c>
      <x:c r="H3" t="n">
        <x:v>274</x:v>
      </x:c>
      <x:c r="I3" t="n">
        <x:v>14</x:v>
      </x:c>
      <x:c r="J3" t="str">
        <x:v>Calidad</x:v>
      </x:c>
      <x:c r="K3" t="str">
        <x:v>No</x:v>
      </x:c>
      <x:c r="L3" t="str">
        <x:v>Zaragoza</x:v>
      </x:c>
      <x:c r="M3" t="n">
        <x:f>IF(AND(B3&gt;=DATE(2026,7,1),B3&lt;=DATE(2026,9,30),G3&gt;=DATE(2026,7,1),G3&lt;=DATE(2026,9,30)),1,0)</x:f>
        <x:v>1</x:v>
      </x:c>
      <x:c r="N3" t="n">
        <x:f>IF(M3=1,IF(G3&lt;=F3,1,0),0)</x:f>
        <x:v>0</x:v>
      </x:c>
      <x:c r="O3" t="n">
        <x:f>IF(AND(M3=1,K3="Sí",G3&gt;F3),1,0)</x:f>
        <x:v>0</x:v>
      </x:c>
      <x:c r="P3" t="n">
        <x:f>IF(AND(M3=1,I3&gt;0),1,0)</x:f>
        <x:v>1</x:v>
      </x:c>
      <x:c r="Q3" t="n">
        <x:f>IF(AND(B3&gt;=DATE(2026,7,1),B3&lt;=DATE(2026,9,30),G3&gt;=DATE(2026,10,1),G3&lt;=DATE(2026,10,7)),1,0)</x:f>
        <x:v>0</x:v>
      </x:c>
      <x:c r="R3" t="n">
        <x:f>IF(AND(B3&gt;=DATE(2026,7,1),B3&lt;=DATE(2026,9,30),G3&gt;DATE(2026,10,7)),1,0)</x:f>
        <x:v>0</x:v>
      </x:c>
      <x:c r="S3" t="n">
        <x:f>IF(AND(M3=1,J3&lt;&gt;"Ninguna"),1,0)</x:f>
        <x:v>1</x:v>
      </x:c>
    </x:row>
    <x:row r="4">
      <x:c r="A4" t="str">
        <x:v>PED-0003</x:v>
      </x:c>
      <x:c r="B4" s="12" t="n">
        <x:v>46219</x:v>
      </x:c>
      <x:c r="C4" t="str">
        <x:v>MetalNova</x:v>
      </x:c>
      <x:c r="D4" t="str">
        <x:v>Materia prima</x:v>
      </x:c>
      <x:c r="E4" s="10" t="n">
        <x:v>1126.59</x:v>
      </x:c>
      <x:c r="F4" s="12" t="n">
        <x:v>46228</x:v>
      </x:c>
      <x:c r="G4" s="12" t="n">
        <x:v>46227</x:v>
      </x:c>
      <x:c r="H4" t="n">
        <x:v>135</x:v>
      </x:c>
      <x:c r="I4" t="n">
        <x:v>0</x:v>
      </x:c>
      <x:c r="J4" t="str">
        <x:v>Ninguna</x:v>
      </x:c>
      <x:c r="K4" t="str">
        <x:v>No</x:v>
      </x:c>
      <x:c r="L4" t="str">
        <x:v>Valencia</x:v>
      </x:c>
      <x:c r="M4" t="n">
        <x:f>IF(AND(B4&gt;=DATE(2026,7,1),B4&lt;=DATE(2026,9,30),G4&gt;=DATE(2026,7,1),G4&lt;=DATE(2026,9,30)),1,0)</x:f>
        <x:v>1</x:v>
      </x:c>
      <x:c r="N4" t="n">
        <x:f>IF(M4=1,IF(G4&lt;=F4,1,0),0)</x:f>
        <x:v>1</x:v>
      </x:c>
      <x:c r="O4" t="n">
        <x:f>IF(AND(M4=1,K4="Sí",G4&gt;F4),1,0)</x:f>
        <x:v>0</x:v>
      </x:c>
      <x:c r="P4" t="n">
        <x:f>IF(AND(M4=1,I4&gt;0),1,0)</x:f>
        <x:v>0</x:v>
      </x:c>
      <x:c r="Q4" t="n">
        <x:f>IF(AND(B4&gt;=DATE(2026,7,1),B4&lt;=DATE(2026,9,30),G4&gt;=DATE(2026,10,1),G4&lt;=DATE(2026,10,7)),1,0)</x:f>
        <x:v>0</x:v>
      </x:c>
      <x:c r="R4" t="n">
        <x:f>IF(AND(B4&gt;=DATE(2026,7,1),B4&lt;=DATE(2026,9,30),G4&gt;DATE(2026,10,7)),1,0)</x:f>
        <x:v>0</x:v>
      </x:c>
      <x:c r="S4" t="n">
        <x:f>IF(AND(M4=1,J4&lt;&gt;"Ninguna"),1,0)</x:f>
        <x:v>0</x:v>
      </x:c>
    </x:row>
    <x:row r="5">
      <x:c r="A5" t="str">
        <x:v>PED-0004</x:v>
      </x:c>
      <x:c r="B5" s="12" t="n">
        <x:v>46216</x:v>
      </x:c>
      <x:c r="C5" t="str">
        <x:v>MecaParts</x:v>
      </x:c>
      <x:c r="D5" t="str">
        <x:v>Componentes mecánicos</x:v>
      </x:c>
      <x:c r="E5" s="10" t="n">
        <x:v>2169.35</x:v>
      </x:c>
      <x:c r="F5" s="12" t="n">
        <x:v>46225</x:v>
      </x:c>
      <x:c r="G5" s="12" t="n">
        <x:v>46228</x:v>
      </x:c>
      <x:c r="H5" t="n">
        <x:v>68</x:v>
      </x:c>
      <x:c r="I5" t="n">
        <x:v>0</x:v>
      </x:c>
      <x:c r="J5" t="str">
        <x:v>Retraso</x:v>
      </x:c>
      <x:c r="K5" t="str">
        <x:v>No</x:v>
      </x:c>
      <x:c r="L5" t="str">
        <x:v>Valencia</x:v>
      </x:c>
      <x:c r="M5" t="n">
        <x:f>IF(AND(B5&gt;=DATE(2026,7,1),B5&lt;=DATE(2026,9,30),G5&gt;=DATE(2026,7,1),G5&lt;=DATE(2026,9,30)),1,0)</x:f>
        <x:v>1</x:v>
      </x:c>
      <x:c r="N5" t="n">
        <x:f>IF(M5=1,IF(G5&lt;=F5,1,0),0)</x:f>
        <x:v>0</x:v>
      </x:c>
      <x:c r="O5" t="n">
        <x:f>IF(AND(M5=1,K5="Sí",G5&gt;F5),1,0)</x:f>
        <x:v>0</x:v>
      </x:c>
      <x:c r="P5" t="n">
        <x:f>IF(AND(M5=1,I5&gt;0),1,0)</x:f>
        <x:v>0</x:v>
      </x:c>
      <x:c r="Q5" t="n">
        <x:f>IF(AND(B5&gt;=DATE(2026,7,1),B5&lt;=DATE(2026,9,30),G5&gt;=DATE(2026,10,1),G5&lt;=DATE(2026,10,7)),1,0)</x:f>
        <x:v>0</x:v>
      </x:c>
      <x:c r="R5" t="n">
        <x:f>IF(AND(B5&gt;=DATE(2026,7,1),B5&lt;=DATE(2026,9,30),G5&gt;DATE(2026,10,7)),1,0)</x:f>
        <x:v>0</x:v>
      </x:c>
      <x:c r="S5" t="n">
        <x:f>IF(AND(M5=1,J5&lt;&gt;"Ninguna"),1,0)</x:f>
        <x:v>1</x:v>
      </x:c>
    </x:row>
    <x:row r="6">
      <x:c r="A6" t="str">
        <x:v>PED-0005</x:v>
      </x:c>
      <x:c r="B6" s="12" t="n">
        <x:v>46260</x:v>
      </x:c>
      <x:c r="C6" t="str">
        <x:v>MecaParts</x:v>
      </x:c>
      <x:c r="D6" t="str">
        <x:v>Componentes mecánicos</x:v>
      </x:c>
      <x:c r="E6" s="10" t="n">
        <x:v>15718.32</x:v>
      </x:c>
      <x:c r="F6" s="12" t="n">
        <x:v>46268</x:v>
      </x:c>
      <x:c r="G6" s="12" t="n">
        <x:v>46273</x:v>
      </x:c>
      <x:c r="H6" t="n">
        <x:v>318</x:v>
      </x:c>
      <x:c r="I6" t="n">
        <x:v>0</x:v>
      </x:c>
      <x:c r="J6" t="str">
        <x:v>Retraso</x:v>
      </x:c>
      <x:c r="K6" t="str">
        <x:v>No</x:v>
      </x:c>
      <x:c r="L6" t="str">
        <x:v>Barcelona</x:v>
      </x:c>
      <x:c r="M6" t="n">
        <x:f>IF(AND(B6&gt;=DATE(2026,7,1),B6&lt;=DATE(2026,9,30),G6&gt;=DATE(2026,7,1),G6&lt;=DATE(2026,9,30)),1,0)</x:f>
        <x:v>1</x:v>
      </x:c>
      <x:c r="N6" t="n">
        <x:f>IF(M6=1,IF(G6&lt;=F6,1,0),0)</x:f>
        <x:v>0</x:v>
      </x:c>
      <x:c r="O6" t="n">
        <x:f>IF(AND(M6=1,K6="Sí",G6&gt;F6),1,0)</x:f>
        <x:v>0</x:v>
      </x:c>
      <x:c r="P6" t="n">
        <x:f>IF(AND(M6=1,I6&gt;0),1,0)</x:f>
        <x:v>0</x:v>
      </x:c>
      <x:c r="Q6" t="n">
        <x:f>IF(AND(B6&gt;=DATE(2026,7,1),B6&lt;=DATE(2026,9,30),G6&gt;=DATE(2026,10,1),G6&lt;=DATE(2026,10,7)),1,0)</x:f>
        <x:v>0</x:v>
      </x:c>
      <x:c r="R6" t="n">
        <x:f>IF(AND(B6&gt;=DATE(2026,7,1),B6&lt;=DATE(2026,9,30),G6&gt;DATE(2026,10,7)),1,0)</x:f>
        <x:v>0</x:v>
      </x:c>
      <x:c r="S6" t="n">
        <x:f>IF(AND(M6=1,J6&lt;&gt;"Ninguna"),1,0)</x:f>
        <x:v>1</x:v>
      </x:c>
    </x:row>
    <x:row r="7">
      <x:c r="A7" t="str">
        <x:v>PED-0006</x:v>
      </x:c>
      <x:c r="B7" s="12" t="n">
        <x:v>46221</x:v>
      </x:c>
      <x:c r="C7" t="str">
        <x:v>ElectraSupply</x:v>
      </x:c>
      <x:c r="D7" t="str">
        <x:v>Componentes eléctricos</x:v>
      </x:c>
      <x:c r="E7" s="10" t="n">
        <x:v>258.3</x:v>
      </x:c>
      <x:c r="F7" s="12" t="n">
        <x:v>46235</x:v>
      </x:c>
      <x:c r="G7" s="12" t="n">
        <x:v>46241</x:v>
      </x:c>
      <x:c r="H7" t="n">
        <x:v>37</x:v>
      </x:c>
      <x:c r="I7" t="n">
        <x:v>0</x:v>
      </x:c>
      <x:c r="J7" t="str">
        <x:v>Ninguna</x:v>
      </x:c>
      <x:c r="K7" t="str">
        <x:v>No</x:v>
      </x:c>
      <x:c r="L7" t="str">
        <x:v>Valencia</x:v>
      </x:c>
      <x:c r="M7" t="n">
        <x:f>IF(AND(B7&gt;=DATE(2026,7,1),B7&lt;=DATE(2026,9,30),G7&gt;=DATE(2026,7,1),G7&lt;=DATE(2026,9,30)),1,0)</x:f>
        <x:v>1</x:v>
      </x:c>
      <x:c r="N7" t="n">
        <x:f>IF(M7=1,IF(G7&lt;=F7,1,0),0)</x:f>
        <x:v>0</x:v>
      </x:c>
      <x:c r="O7" t="n">
        <x:f>IF(AND(M7=1,K7="Sí",G7&gt;F7),1,0)</x:f>
        <x:v>0</x:v>
      </x:c>
      <x:c r="P7" t="n">
        <x:f>IF(AND(M7=1,I7&gt;0),1,0)</x:f>
        <x:v>0</x:v>
      </x:c>
      <x:c r="Q7" t="n">
        <x:f>IF(AND(B7&gt;=DATE(2026,7,1),B7&lt;=DATE(2026,9,30),G7&gt;=DATE(2026,10,1),G7&lt;=DATE(2026,10,7)),1,0)</x:f>
        <x:v>0</x:v>
      </x:c>
      <x:c r="R7" t="n">
        <x:f>IF(AND(B7&gt;=DATE(2026,7,1),B7&lt;=DATE(2026,9,30),G7&gt;DATE(2026,10,7)),1,0)</x:f>
        <x:v>0</x:v>
      </x:c>
      <x:c r="S7" t="n">
        <x:f>IF(AND(M7=1,J7&lt;&gt;"Ninguna"),1,0)</x:f>
        <x:v>0</x:v>
      </x:c>
    </x:row>
    <x:row r="8">
      <x:c r="A8" t="str">
        <x:v>PED-0007</x:v>
      </x:c>
      <x:c r="B8" s="12" t="n">
        <x:v>46219</x:v>
      </x:c>
      <x:c r="C8" t="str">
        <x:v>PackPro</x:v>
      </x:c>
      <x:c r="D8" t="str">
        <x:v>Embalaje</x:v>
      </x:c>
      <x:c r="E8" s="10" t="n">
        <x:v>1699.49</x:v>
      </x:c>
      <x:c r="F8" s="12" t="n">
        <x:v>46226</x:v>
      </x:c>
      <x:c r="G8" s="12" t="n">
        <x:v>46231</x:v>
      </x:c>
      <x:c r="H8" t="n">
        <x:v>48</x:v>
      </x:c>
      <x:c r="I8" t="n">
        <x:v>0</x:v>
      </x:c>
      <x:c r="J8" t="str">
        <x:v>Ninguna</x:v>
      </x:c>
      <x:c r="K8" t="str">
        <x:v>No</x:v>
      </x:c>
      <x:c r="L8" t="str">
        <x:v>Valencia</x:v>
      </x:c>
      <x:c r="M8" t="n">
        <x:f>IF(AND(B8&gt;=DATE(2026,7,1),B8&lt;=DATE(2026,9,30),G8&gt;=DATE(2026,7,1),G8&lt;=DATE(2026,9,30)),1,0)</x:f>
        <x:v>1</x:v>
      </x:c>
      <x:c r="N8" t="n">
        <x:f>IF(M8=1,IF(G8&lt;=F8,1,0),0)</x:f>
        <x:v>0</x:v>
      </x:c>
      <x:c r="O8" t="n">
        <x:f>IF(AND(M8=1,K8="Sí",G8&gt;F8),1,0)</x:f>
        <x:v>0</x:v>
      </x:c>
      <x:c r="P8" t="n">
        <x:f>IF(AND(M8=1,I8&gt;0),1,0)</x:f>
        <x:v>0</x:v>
      </x:c>
      <x:c r="Q8" t="n">
        <x:f>IF(AND(B8&gt;=DATE(2026,7,1),B8&lt;=DATE(2026,9,30),G8&gt;=DATE(2026,10,1),G8&lt;=DATE(2026,10,7)),1,0)</x:f>
        <x:v>0</x:v>
      </x:c>
      <x:c r="R8" t="n">
        <x:f>IF(AND(B8&gt;=DATE(2026,7,1),B8&lt;=DATE(2026,9,30),G8&gt;DATE(2026,10,7)),1,0)</x:f>
        <x:v>0</x:v>
      </x:c>
      <x:c r="S8" t="n">
        <x:f>IF(AND(M8=1,J8&lt;&gt;"Ninguna"),1,0)</x:f>
        <x:v>0</x:v>
      </x:c>
    </x:row>
    <x:row r="9">
      <x:c r="A9" t="str">
        <x:v>PED-0008</x:v>
      </x:c>
      <x:c r="B9" s="12" t="n">
        <x:v>46271</x:v>
      </x:c>
      <x:c r="C9" t="str">
        <x:v>MetalNova</x:v>
      </x:c>
      <x:c r="D9" t="str">
        <x:v>Materia prima</x:v>
      </x:c>
      <x:c r="E9" s="10" t="n">
        <x:v>12964.23</x:v>
      </x:c>
      <x:c r="F9" s="12" t="n">
        <x:v>46280</x:v>
      </x:c>
      <x:c r="G9" s="12" t="n">
        <x:v>46280</x:v>
      </x:c>
      <x:c r="H9" t="n">
        <x:v>268</x:v>
      </x:c>
      <x:c r="I9" t="n">
        <x:v>0</x:v>
      </x:c>
      <x:c r="J9" t="str">
        <x:v>Ninguna</x:v>
      </x:c>
      <x:c r="K9" t="str">
        <x:v>No</x:v>
      </x:c>
      <x:c r="L9" t="str">
        <x:v>Valencia</x:v>
      </x:c>
      <x:c r="M9" t="n">
        <x:f>IF(AND(B9&gt;=DATE(2026,7,1),B9&lt;=DATE(2026,9,30),G9&gt;=DATE(2026,7,1),G9&lt;=DATE(2026,9,30)),1,0)</x:f>
        <x:v>1</x:v>
      </x:c>
      <x:c r="N9" t="n">
        <x:f>IF(M9=1,IF(G9&lt;=F9,1,0),0)</x:f>
        <x:v>1</x:v>
      </x:c>
      <x:c r="O9" t="n">
        <x:f>IF(AND(M9=1,K9="Sí",G9&gt;F9),1,0)</x:f>
        <x:v>0</x:v>
      </x:c>
      <x:c r="P9" t="n">
        <x:f>IF(AND(M9=1,I9&gt;0),1,0)</x:f>
        <x:v>0</x:v>
      </x:c>
      <x:c r="Q9" t="n">
        <x:f>IF(AND(B9&gt;=DATE(2026,7,1),B9&lt;=DATE(2026,9,30),G9&gt;=DATE(2026,10,1),G9&lt;=DATE(2026,10,7)),1,0)</x:f>
        <x:v>0</x:v>
      </x:c>
      <x:c r="R9" t="n">
        <x:f>IF(AND(B9&gt;=DATE(2026,7,1),B9&lt;=DATE(2026,9,30),G9&gt;DATE(2026,10,7)),1,0)</x:f>
        <x:v>0</x:v>
      </x:c>
      <x:c r="S9" t="n">
        <x:f>IF(AND(M9=1,J9&lt;&gt;"Ninguna"),1,0)</x:f>
        <x:v>0</x:v>
      </x:c>
    </x:row>
    <x:row r="10">
      <x:c r="A10" t="str">
        <x:v>PED-0009</x:v>
      </x:c>
      <x:c r="B10" s="12" t="n">
        <x:v>46222</x:v>
      </x:c>
      <x:c r="C10" t="str">
        <x:v>MetalNova</x:v>
      </x:c>
      <x:c r="D10" t="str">
        <x:v>Materia prima</x:v>
      </x:c>
      <x:c r="E10" s="10" t="n">
        <x:v>5943.62</x:v>
      </x:c>
      <x:c r="F10" s="12" t="n">
        <x:v>46231</x:v>
      </x:c>
      <x:c r="G10" s="12" t="n">
        <x:v>46231</x:v>
      </x:c>
      <x:c r="H10" t="n">
        <x:v>258</x:v>
      </x:c>
      <x:c r="I10" t="n">
        <x:v>0</x:v>
      </x:c>
      <x:c r="J10" t="str">
        <x:v>Ninguna</x:v>
      </x:c>
      <x:c r="K10" t="str">
        <x:v>No</x:v>
      </x:c>
      <x:c r="L10" t="str">
        <x:v>Barcelona</x:v>
      </x:c>
      <x:c r="M10" t="n">
        <x:f>IF(AND(B10&gt;=DATE(2026,7,1),B10&lt;=DATE(2026,9,30),G10&gt;=DATE(2026,7,1),G10&lt;=DATE(2026,9,30)),1,0)</x:f>
        <x:v>1</x:v>
      </x:c>
      <x:c r="N10" t="n">
        <x:f>IF(M10=1,IF(G10&lt;=F10,1,0),0)</x:f>
        <x:v>1</x:v>
      </x:c>
      <x:c r="O10" t="n">
        <x:f>IF(AND(M10=1,K10="Sí",G10&gt;F10),1,0)</x:f>
        <x:v>0</x:v>
      </x:c>
      <x:c r="P10" t="n">
        <x:f>IF(AND(M10=1,I10&gt;0),1,0)</x:f>
        <x:v>0</x:v>
      </x:c>
      <x:c r="Q10" t="n">
        <x:f>IF(AND(B10&gt;=DATE(2026,7,1),B10&lt;=DATE(2026,9,30),G10&gt;=DATE(2026,10,1),G10&lt;=DATE(2026,10,7)),1,0)</x:f>
        <x:v>0</x:v>
      </x:c>
      <x:c r="R10" t="n">
        <x:f>IF(AND(B10&gt;=DATE(2026,7,1),B10&lt;=DATE(2026,9,30),G10&gt;DATE(2026,10,7)),1,0)</x:f>
        <x:v>0</x:v>
      </x:c>
      <x:c r="S10" t="n">
        <x:f>IF(AND(M10=1,J10&lt;&gt;"Ninguna"),1,0)</x:f>
        <x:v>0</x:v>
      </x:c>
    </x:row>
    <x:row r="11">
      <x:c r="A11" t="str">
        <x:v>PED-0010</x:v>
      </x:c>
      <x:c r="B11" s="12" t="n">
        <x:v>46215</x:v>
      </x:c>
      <x:c r="C11" t="str">
        <x:v>PackPro</x:v>
      </x:c>
      <x:c r="D11" t="str">
        <x:v>Embalaje</x:v>
      </x:c>
      <x:c r="E11" s="10" t="n">
        <x:v>220.79</x:v>
      </x:c>
      <x:c r="F11" s="12" t="n">
        <x:v>46221</x:v>
      </x:c>
      <x:c r="G11" s="12" t="n">
        <x:v>46220</x:v>
      </x:c>
      <x:c r="H11" t="n">
        <x:v>32</x:v>
      </x:c>
      <x:c r="I11" t="n">
        <x:v>0</x:v>
      </x:c>
      <x:c r="J11" t="str">
        <x:v>Ninguna</x:v>
      </x:c>
      <x:c r="K11" t="str">
        <x:v>No</x:v>
      </x:c>
      <x:c r="L11" t="str">
        <x:v>Valencia</x:v>
      </x:c>
      <x:c r="M11" t="n">
        <x:f>IF(AND(B11&gt;=DATE(2026,7,1),B11&lt;=DATE(2026,9,30),G11&gt;=DATE(2026,7,1),G11&lt;=DATE(2026,9,30)),1,0)</x:f>
        <x:v>1</x:v>
      </x:c>
      <x:c r="N11" t="n">
        <x:f>IF(M11=1,IF(G11&lt;=F11,1,0),0)</x:f>
        <x:v>1</x:v>
      </x:c>
      <x:c r="O11" t="n">
        <x:f>IF(AND(M11=1,K11="Sí",G11&gt;F11),1,0)</x:f>
        <x:v>0</x:v>
      </x:c>
      <x:c r="P11" t="n">
        <x:f>IF(AND(M11=1,I11&gt;0),1,0)</x:f>
        <x:v>0</x:v>
      </x:c>
      <x:c r="Q11" t="n">
        <x:f>IF(AND(B11&gt;=DATE(2026,7,1),B11&lt;=DATE(2026,9,30),G11&gt;=DATE(2026,10,1),G11&lt;=DATE(2026,10,7)),1,0)</x:f>
        <x:v>0</x:v>
      </x:c>
      <x:c r="R11" t="n">
        <x:f>IF(AND(B11&gt;=DATE(2026,7,1),B11&lt;=DATE(2026,9,30),G11&gt;DATE(2026,10,7)),1,0)</x:f>
        <x:v>0</x:v>
      </x:c>
      <x:c r="S11" t="n">
        <x:f>IF(AND(M11=1,J11&lt;&gt;"Ninguna"),1,0)</x:f>
        <x:v>0</x:v>
      </x:c>
    </x:row>
    <x:row r="12">
      <x:c r="A12" t="str">
        <x:v>PED-0011</x:v>
      </x:c>
      <x:c r="B12" s="12" t="n">
        <x:v>46277</x:v>
      </x:c>
      <x:c r="C12" t="str">
        <x:v>ElectraSupply</x:v>
      </x:c>
      <x:c r="D12" t="str">
        <x:v>Componentes eléctricos</x:v>
      </x:c>
      <x:c r="E12" s="10" t="n">
        <x:v>1743.35</x:v>
      </x:c>
      <x:c r="F12" s="12" t="n">
        <x:v>46291</x:v>
      </x:c>
      <x:c r="G12" s="12" t="n">
        <x:v>46293</x:v>
      </x:c>
      <x:c r="H12" t="n">
        <x:v>72</x:v>
      </x:c>
      <x:c r="I12" t="n">
        <x:v>7</x:v>
      </x:c>
      <x:c r="J12" t="str">
        <x:v>Calidad</x:v>
      </x:c>
      <x:c r="K12" t="str">
        <x:v>No</x:v>
      </x:c>
      <x:c r="L12" t="str">
        <x:v>Zaragoza</x:v>
      </x:c>
      <x:c r="M12" t="n">
        <x:f>IF(AND(B12&gt;=DATE(2026,7,1),B12&lt;=DATE(2026,9,30),G12&gt;=DATE(2026,7,1),G12&lt;=DATE(2026,9,30)),1,0)</x:f>
        <x:v>1</x:v>
      </x:c>
      <x:c r="N12" t="n">
        <x:f>IF(M12=1,IF(G12&lt;=F12,1,0),0)</x:f>
        <x:v>0</x:v>
      </x:c>
      <x:c r="O12" t="n">
        <x:f>IF(AND(M12=1,K12="Sí",G12&gt;F12),1,0)</x:f>
        <x:v>0</x:v>
      </x:c>
      <x:c r="P12" t="n">
        <x:f>IF(AND(M12=1,I12&gt;0),1,0)</x:f>
        <x:v>1</x:v>
      </x:c>
      <x:c r="Q12" t="n">
        <x:f>IF(AND(B12&gt;=DATE(2026,7,1),B12&lt;=DATE(2026,9,30),G12&gt;=DATE(2026,10,1),G12&lt;=DATE(2026,10,7)),1,0)</x:f>
        <x:v>0</x:v>
      </x:c>
      <x:c r="R12" t="n">
        <x:f>IF(AND(B12&gt;=DATE(2026,7,1),B12&lt;=DATE(2026,9,30),G12&gt;DATE(2026,10,7)),1,0)</x:f>
        <x:v>0</x:v>
      </x:c>
      <x:c r="S12" t="n">
        <x:f>IF(AND(M12=1,J12&lt;&gt;"Ninguna"),1,0)</x:f>
        <x:v>1</x:v>
      </x:c>
    </x:row>
    <x:row r="13">
      <x:c r="A13" t="str">
        <x:v>PED-0012</x:v>
      </x:c>
      <x:c r="B13" s="12" t="n">
        <x:v>46206</x:v>
      </x:c>
      <x:c r="C13" t="str">
        <x:v>ElectraSupply</x:v>
      </x:c>
      <x:c r="D13" t="str">
        <x:v>Componentes eléctricos</x:v>
      </x:c>
      <x:c r="E13" s="10" t="n">
        <x:v>1143.13</x:v>
      </x:c>
      <x:c r="F13" s="12" t="n">
        <x:v>46220</x:v>
      </x:c>
      <x:c r="G13" s="12" t="n">
        <x:v>46224</x:v>
      </x:c>
      <x:c r="H13" t="n">
        <x:v>29</x:v>
      </x:c>
      <x:c r="I13" t="n">
        <x:v>0</x:v>
      </x:c>
      <x:c r="J13" t="str">
        <x:v>Ninguna</x:v>
      </x:c>
      <x:c r="K13" t="str">
        <x:v>Sí</x:v>
      </x:c>
      <x:c r="L13" t="str">
        <x:v>Valencia</x:v>
      </x:c>
      <x:c r="M13" t="n">
        <x:f>IF(AND(B13&gt;=DATE(2026,7,1),B13&lt;=DATE(2026,9,30),G13&gt;=DATE(2026,7,1),G13&lt;=DATE(2026,9,30)),1,0)</x:f>
        <x:v>1</x:v>
      </x:c>
      <x:c r="N13" t="n">
        <x:f>IF(M13=1,IF(G13&lt;=F13,1,0),0)</x:f>
        <x:v>0</x:v>
      </x:c>
      <x:c r="O13" t="n">
        <x:f>IF(AND(M13=1,K13="Sí",G13&gt;F13),1,0)</x:f>
        <x:v>1</x:v>
      </x:c>
      <x:c r="P13" t="n">
        <x:f>IF(AND(M13=1,I13&gt;0),1,0)</x:f>
        <x:v>0</x:v>
      </x:c>
      <x:c r="Q13" t="n">
        <x:f>IF(AND(B13&gt;=DATE(2026,7,1),B13&lt;=DATE(2026,9,30),G13&gt;=DATE(2026,10,1),G13&lt;=DATE(2026,10,7)),1,0)</x:f>
        <x:v>0</x:v>
      </x:c>
      <x:c r="R13" t="n">
        <x:f>IF(AND(B13&gt;=DATE(2026,7,1),B13&lt;=DATE(2026,9,30),G13&gt;DATE(2026,10,7)),1,0)</x:f>
        <x:v>0</x:v>
      </x:c>
      <x:c r="S13" t="n">
        <x:f>IF(AND(M13=1,J13&lt;&gt;"Ninguna"),1,0)</x:f>
        <x:v>0</x:v>
      </x:c>
    </x:row>
    <x:row r="14">
      <x:c r="A14" t="str">
        <x:v>PED-0013</x:v>
      </x:c>
      <x:c r="B14" s="12" t="n">
        <x:v>46290</x:v>
      </x:c>
      <x:c r="C14" t="str">
        <x:v>MecaParts</x:v>
      </x:c>
      <x:c r="D14" t="str">
        <x:v>Componentes mecánicos</x:v>
      </x:c>
      <x:c r="E14" s="10" t="n">
        <x:v>3883.78</x:v>
      </x:c>
      <x:c r="F14" s="12" t="n">
        <x:v>46298</x:v>
      </x:c>
      <x:c r="G14" s="12" t="n">
        <x:v>46301</x:v>
      </x:c>
      <x:c r="H14" t="n">
        <x:v>216</x:v>
      </x:c>
      <x:c r="I14" t="n">
        <x:v>0</x:v>
      </x:c>
      <x:c r="J14" t="str">
        <x:v>Documentación</x:v>
      </x:c>
      <x:c r="K14" t="str">
        <x:v>No</x:v>
      </x:c>
      <x:c r="L14" t="str">
        <x:v>Valencia</x:v>
      </x:c>
      <x:c r="M14" t="n">
        <x:f>IF(AND(B14&gt;=DATE(2026,7,1),B14&lt;=DATE(2026,9,30),G14&gt;=DATE(2026,7,1),G14&lt;=DATE(2026,9,30)),1,0)</x:f>
        <x:v>0</x:v>
      </x:c>
      <x:c r="N14" t="n">
        <x:f>IF(M14=1,IF(G14&lt;=F14,1,0),0)</x:f>
        <x:v>0</x:v>
      </x:c>
      <x:c r="O14" t="n">
        <x:f>IF(AND(M14=1,K14="Sí",G14&gt;F14),1,0)</x:f>
        <x:v>0</x:v>
      </x:c>
      <x:c r="P14" t="n">
        <x:f>IF(AND(M14=1,I14&gt;0),1,0)</x:f>
        <x:v>0</x:v>
      </x:c>
      <x:c r="Q14" t="n">
        <x:f>IF(AND(B14&gt;=DATE(2026,7,1),B14&lt;=DATE(2026,9,30),G14&gt;=DATE(2026,10,1),G14&lt;=DATE(2026,10,7)),1,0)</x:f>
        <x:v>1</x:v>
      </x:c>
      <x:c r="R14" t="n">
        <x:f>IF(AND(B14&gt;=DATE(2026,7,1),B14&lt;=DATE(2026,9,30),G14&gt;DATE(2026,10,7)),1,0)</x:f>
        <x:v>0</x:v>
      </x:c>
      <x:c r="S14" t="n">
        <x:f>IF(AND(M14=1,J14&lt;&gt;"Ninguna"),1,0)</x:f>
        <x:v>0</x:v>
      </x:c>
    </x:row>
    <x:row r="15">
      <x:c r="A15" t="str">
        <x:v>PED-0014</x:v>
      </x:c>
      <x:c r="B15" s="12" t="n">
        <x:v>46228</x:v>
      </x:c>
      <x:c r="C15" t="str">
        <x:v>OfiPlus</x:v>
      </x:c>
      <x:c r="D15" t="str">
        <x:v>Consumibles</x:v>
      </x:c>
      <x:c r="E15" s="10" t="n">
        <x:v>7576.83</x:v>
      </x:c>
      <x:c r="F15" s="12" t="n">
        <x:v>46234</x:v>
      </x:c>
      <x:c r="G15" s="12" t="n">
        <x:v>46233</x:v>
      </x:c>
      <x:c r="H15" t="n">
        <x:v>165</x:v>
      </x:c>
      <x:c r="I15" t="n">
        <x:v>23</x:v>
      </x:c>
      <x:c r="J15" t="str">
        <x:v>Calidad</x:v>
      </x:c>
      <x:c r="K15" t="str">
        <x:v>No</x:v>
      </x:c>
      <x:c r="L15" t="str">
        <x:v>Zaragoza</x:v>
      </x:c>
      <x:c r="M15" t="n">
        <x:f>IF(AND(B15&gt;=DATE(2026,7,1),B15&lt;=DATE(2026,9,30),G15&gt;=DATE(2026,7,1),G15&lt;=DATE(2026,9,30)),1,0)</x:f>
        <x:v>1</x:v>
      </x:c>
      <x:c r="N15" t="n">
        <x:f>IF(M15=1,IF(G15&lt;=F15,1,0),0)</x:f>
        <x:v>1</x:v>
      </x:c>
      <x:c r="O15" t="n">
        <x:f>IF(AND(M15=1,K15="Sí",G15&gt;F15),1,0)</x:f>
        <x:v>0</x:v>
      </x:c>
      <x:c r="P15" t="n">
        <x:f>IF(AND(M15=1,I15&gt;0),1,0)</x:f>
        <x:v>1</x:v>
      </x:c>
      <x:c r="Q15" t="n">
        <x:f>IF(AND(B15&gt;=DATE(2026,7,1),B15&lt;=DATE(2026,9,30),G15&gt;=DATE(2026,10,1),G15&lt;=DATE(2026,10,7)),1,0)</x:f>
        <x:v>0</x:v>
      </x:c>
      <x:c r="R15" t="n">
        <x:f>IF(AND(B15&gt;=DATE(2026,7,1),B15&lt;=DATE(2026,9,30),G15&gt;DATE(2026,10,7)),1,0)</x:f>
        <x:v>0</x:v>
      </x:c>
      <x:c r="S15" t="n">
        <x:f>IF(AND(M15=1,J15&lt;&gt;"Ninguna"),1,0)</x:f>
        <x:v>1</x:v>
      </x:c>
    </x:row>
    <x:row r="16">
      <x:c r="A16" t="str">
        <x:v>PED-0015</x:v>
      </x:c>
      <x:c r="B16" s="12" t="n">
        <x:v>46239</x:v>
      </x:c>
      <x:c r="C16" t="str">
        <x:v>PackPro</x:v>
      </x:c>
      <x:c r="D16" t="str">
        <x:v>Embalaje</x:v>
      </x:c>
      <x:c r="E16" s="10" t="n">
        <x:v>10440.48</x:v>
      </x:c>
      <x:c r="F16" s="12" t="n">
        <x:v>46246</x:v>
      </x:c>
      <x:c r="G16" s="12" t="n">
        <x:v>46247</x:v>
      </x:c>
      <x:c r="H16" t="n">
        <x:v>355</x:v>
      </x:c>
      <x:c r="I16" t="n">
        <x:v>0</x:v>
      </x:c>
      <x:c r="J16" t="str">
        <x:v>Ninguna</x:v>
      </x:c>
      <x:c r="K16" t="str">
        <x:v>No</x:v>
      </x:c>
      <x:c r="L16" t="str">
        <x:v>Zaragoza</x:v>
      </x:c>
      <x:c r="M16" t="n">
        <x:f>IF(AND(B16&gt;=DATE(2026,7,1),B16&lt;=DATE(2026,9,30),G16&gt;=DATE(2026,7,1),G16&lt;=DATE(2026,9,30)),1,0)</x:f>
        <x:v>1</x:v>
      </x:c>
      <x:c r="N16" t="n">
        <x:f>IF(M16=1,IF(G16&lt;=F16,1,0),0)</x:f>
        <x:v>0</x:v>
      </x:c>
      <x:c r="O16" t="n">
        <x:f>IF(AND(M16=1,K16="Sí",G16&gt;F16),1,0)</x:f>
        <x:v>0</x:v>
      </x:c>
      <x:c r="P16" t="n">
        <x:f>IF(AND(M16=1,I16&gt;0),1,0)</x:f>
        <x:v>0</x:v>
      </x:c>
      <x:c r="Q16" t="n">
        <x:f>IF(AND(B16&gt;=DATE(2026,7,1),B16&lt;=DATE(2026,9,30),G16&gt;=DATE(2026,10,1),G16&lt;=DATE(2026,10,7)),1,0)</x:f>
        <x:v>0</x:v>
      </x:c>
      <x:c r="R16" t="n">
        <x:f>IF(AND(B16&gt;=DATE(2026,7,1),B16&lt;=DATE(2026,9,30),G16&gt;DATE(2026,10,7)),1,0)</x:f>
        <x:v>0</x:v>
      </x:c>
      <x:c r="S16" t="n">
        <x:f>IF(AND(M16=1,J16&lt;&gt;"Ninguna"),1,0)</x:f>
        <x:v>0</x:v>
      </x:c>
    </x:row>
    <x:row r="17">
      <x:c r="A17" t="str">
        <x:v>PED-0016</x:v>
      </x:c>
      <x:c r="B17" s="12" t="n">
        <x:v>46252</x:v>
      </x:c>
      <x:c r="C17" t="str">
        <x:v>MecaParts</x:v>
      </x:c>
      <x:c r="D17" t="str">
        <x:v>Componentes mecánicos</x:v>
      </x:c>
      <x:c r="E17" s="10" t="n">
        <x:v>5851.05</x:v>
      </x:c>
      <x:c r="F17" s="12" t="n">
        <x:v>46262</x:v>
      </x:c>
      <x:c r="G17" s="12" t="n">
        <x:v>46260</x:v>
      </x:c>
      <x:c r="H17" t="n">
        <x:v>160</x:v>
      </x:c>
      <x:c r="I17" t="n">
        <x:v>0</x:v>
      </x:c>
      <x:c r="J17" t="str">
        <x:v>Cantidad incorrecta</x:v>
      </x:c>
      <x:c r="K17" t="str">
        <x:v>No</x:v>
      </x:c>
      <x:c r="L17" t="str">
        <x:v>Zaragoza</x:v>
      </x:c>
      <x:c r="M17" t="n">
        <x:f>IF(AND(B17&gt;=DATE(2026,7,1),B17&lt;=DATE(2026,9,30),G17&gt;=DATE(2026,7,1),G17&lt;=DATE(2026,9,30)),1,0)</x:f>
        <x:v>1</x:v>
      </x:c>
      <x:c r="N17" t="n">
        <x:f>IF(M17=1,IF(G17&lt;=F17,1,0),0)</x:f>
        <x:v>1</x:v>
      </x:c>
      <x:c r="O17" t="n">
        <x:f>IF(AND(M17=1,K17="Sí",G17&gt;F17),1,0)</x:f>
        <x:v>0</x:v>
      </x:c>
      <x:c r="P17" t="n">
        <x:f>IF(AND(M17=1,I17&gt;0),1,0)</x:f>
        <x:v>0</x:v>
      </x:c>
      <x:c r="Q17" t="n">
        <x:f>IF(AND(B17&gt;=DATE(2026,7,1),B17&lt;=DATE(2026,9,30),G17&gt;=DATE(2026,10,1),G17&lt;=DATE(2026,10,7)),1,0)</x:f>
        <x:v>0</x:v>
      </x:c>
      <x:c r="R17" t="n">
        <x:f>IF(AND(B17&gt;=DATE(2026,7,1),B17&lt;=DATE(2026,9,30),G17&gt;DATE(2026,10,7)),1,0)</x:f>
        <x:v>0</x:v>
      </x:c>
      <x:c r="S17" t="n">
        <x:f>IF(AND(M17=1,J17&lt;&gt;"Ninguna"),1,0)</x:f>
        <x:v>1</x:v>
      </x:c>
    </x:row>
    <x:row r="18">
      <x:c r="A18" t="str">
        <x:v>PED-0017</x:v>
      </x:c>
      <x:c r="B18" s="12" t="n">
        <x:v>46231</x:v>
      </x:c>
      <x:c r="C18" t="str">
        <x:v>MecaParts</x:v>
      </x:c>
      <x:c r="D18" t="str">
        <x:v>Componentes mecánicos</x:v>
      </x:c>
      <x:c r="E18" s="10" t="n">
        <x:v>2824.82</x:v>
      </x:c>
      <x:c r="F18" s="12" t="n">
        <x:v>46239</x:v>
      </x:c>
      <x:c r="G18" s="12" t="n">
        <x:v>46237</x:v>
      </x:c>
      <x:c r="H18" t="n">
        <x:v>81</x:v>
      </x:c>
      <x:c r="I18" t="n">
        <x:v>0</x:v>
      </x:c>
      <x:c r="J18" t="str">
        <x:v>Documentación</x:v>
      </x:c>
      <x:c r="K18" t="str">
        <x:v>No</x:v>
      </x:c>
      <x:c r="L18" t="str">
        <x:v>Zaragoza</x:v>
      </x:c>
      <x:c r="M18" t="n">
        <x:f>IF(AND(B18&gt;=DATE(2026,7,1),B18&lt;=DATE(2026,9,30),G18&gt;=DATE(2026,7,1),G18&lt;=DATE(2026,9,30)),1,0)</x:f>
        <x:v>1</x:v>
      </x:c>
      <x:c r="N18" t="n">
        <x:f>IF(M18=1,IF(G18&lt;=F18,1,0),0)</x:f>
        <x:v>1</x:v>
      </x:c>
      <x:c r="O18" t="n">
        <x:f>IF(AND(M18=1,K18="Sí",G18&gt;F18),1,0)</x:f>
        <x:v>0</x:v>
      </x:c>
      <x:c r="P18" t="n">
        <x:f>IF(AND(M18=1,I18&gt;0),1,0)</x:f>
        <x:v>0</x:v>
      </x:c>
      <x:c r="Q18" t="n">
        <x:f>IF(AND(B18&gt;=DATE(2026,7,1),B18&lt;=DATE(2026,9,30),G18&gt;=DATE(2026,10,1),G18&lt;=DATE(2026,10,7)),1,0)</x:f>
        <x:v>0</x:v>
      </x:c>
      <x:c r="R18" t="n">
        <x:f>IF(AND(B18&gt;=DATE(2026,7,1),B18&lt;=DATE(2026,9,30),G18&gt;DATE(2026,10,7)),1,0)</x:f>
        <x:v>0</x:v>
      </x:c>
      <x:c r="S18" t="n">
        <x:f>IF(AND(M18=1,J18&lt;&gt;"Ninguna"),1,0)</x:f>
        <x:v>1</x:v>
      </x:c>
    </x:row>
    <x:row r="19">
      <x:c r="A19" t="str">
        <x:v>PED-0018</x:v>
      </x:c>
      <x:c r="B19" s="12" t="n">
        <x:v>46211</x:v>
      </x:c>
      <x:c r="C19" t="str">
        <x:v>MecaParts</x:v>
      </x:c>
      <x:c r="D19" t="str">
        <x:v>Componentes mecánicos</x:v>
      </x:c>
      <x:c r="E19" s="10" t="n">
        <x:v>7113.9</x:v>
      </x:c>
      <x:c r="F19" s="12" t="n">
        <x:v>46222</x:v>
      </x:c>
      <x:c r="G19" s="12" t="n">
        <x:v>46222</x:v>
      </x:c>
      <x:c r="H19" t="n">
        <x:v>379</x:v>
      </x:c>
      <x:c r="I19" t="n">
        <x:v>0</x:v>
      </x:c>
      <x:c r="J19" t="str">
        <x:v>Ninguna</x:v>
      </x:c>
      <x:c r="K19" t="str">
        <x:v>No</x:v>
      </x:c>
      <x:c r="L19" t="str">
        <x:v>Valencia</x:v>
      </x:c>
      <x:c r="M19" t="n">
        <x:f>IF(AND(B19&gt;=DATE(2026,7,1),B19&lt;=DATE(2026,9,30),G19&gt;=DATE(2026,7,1),G19&lt;=DATE(2026,9,30)),1,0)</x:f>
        <x:v>1</x:v>
      </x:c>
      <x:c r="N19" t="n">
        <x:f>IF(M19=1,IF(G19&lt;=F19,1,0),0)</x:f>
        <x:v>1</x:v>
      </x:c>
      <x:c r="O19" t="n">
        <x:f>IF(AND(M19=1,K19="Sí",G19&gt;F19),1,0)</x:f>
        <x:v>0</x:v>
      </x:c>
      <x:c r="P19" t="n">
        <x:f>IF(AND(M19=1,I19&gt;0),1,0)</x:f>
        <x:v>0</x:v>
      </x:c>
      <x:c r="Q19" t="n">
        <x:f>IF(AND(B19&gt;=DATE(2026,7,1),B19&lt;=DATE(2026,9,30),G19&gt;=DATE(2026,10,1),G19&lt;=DATE(2026,10,7)),1,0)</x:f>
        <x:v>0</x:v>
      </x:c>
      <x:c r="R19" t="n">
        <x:f>IF(AND(B19&gt;=DATE(2026,7,1),B19&lt;=DATE(2026,9,30),G19&gt;DATE(2026,10,7)),1,0)</x:f>
        <x:v>0</x:v>
      </x:c>
      <x:c r="S19" t="n">
        <x:f>IF(AND(M19=1,J19&lt;&gt;"Ninguna"),1,0)</x:f>
        <x:v>0</x:v>
      </x:c>
    </x:row>
    <x:row r="20">
      <x:c r="A20" t="str">
        <x:v>PED-0019</x:v>
      </x:c>
      <x:c r="B20" s="12" t="n">
        <x:v>46210</x:v>
      </x:c>
      <x:c r="C20" t="str">
        <x:v>OfiPlus</x:v>
      </x:c>
      <x:c r="D20" t="str">
        <x:v>Consumibles</x:v>
      </x:c>
      <x:c r="E20" s="10" t="n">
        <x:v>13110.25</x:v>
      </x:c>
      <x:c r="F20" s="12" t="n">
        <x:v>46216</x:v>
      </x:c>
      <x:c r="G20" s="12" t="n">
        <x:v>46216</x:v>
      </x:c>
      <x:c r="H20" t="n">
        <x:v>292</x:v>
      </x:c>
      <x:c r="I20" t="n">
        <x:v>0</x:v>
      </x:c>
      <x:c r="J20" t="str">
        <x:v>Ninguna</x:v>
      </x:c>
      <x:c r="K20" t="str">
        <x:v>Sí</x:v>
      </x:c>
      <x:c r="L20" t="str">
        <x:v>Barcelona</x:v>
      </x:c>
      <x:c r="M20" t="n">
        <x:f>IF(AND(B20&gt;=DATE(2026,7,1),B20&lt;=DATE(2026,9,30),G20&gt;=DATE(2026,7,1),G20&lt;=DATE(2026,9,30)),1,0)</x:f>
        <x:v>1</x:v>
      </x:c>
      <x:c r="N20" t="n">
        <x:f>IF(M20=1,IF(G20&lt;=F20,1,0),0)</x:f>
        <x:v>1</x:v>
      </x:c>
      <x:c r="O20" t="n">
        <x:f>IF(AND(M20=1,K20="Sí",G20&gt;F20),1,0)</x:f>
        <x:v>0</x:v>
      </x:c>
      <x:c r="P20" t="n">
        <x:f>IF(AND(M20=1,I20&gt;0),1,0)</x:f>
        <x:v>0</x:v>
      </x:c>
      <x:c r="Q20" t="n">
        <x:f>IF(AND(B20&gt;=DATE(2026,7,1),B20&lt;=DATE(2026,9,30),G20&gt;=DATE(2026,10,1),G20&lt;=DATE(2026,10,7)),1,0)</x:f>
        <x:v>0</x:v>
      </x:c>
      <x:c r="R20" t="n">
        <x:f>IF(AND(B20&gt;=DATE(2026,7,1),B20&lt;=DATE(2026,9,30),G20&gt;DATE(2026,10,7)),1,0)</x:f>
        <x:v>0</x:v>
      </x:c>
      <x:c r="S20" t="n">
        <x:f>IF(AND(M20=1,J20&lt;&gt;"Ninguna"),1,0)</x:f>
        <x:v>0</x:v>
      </x:c>
    </x:row>
    <x:row r="21">
      <x:c r="A21" t="str">
        <x:v>PED-0020</x:v>
      </x:c>
      <x:c r="B21" s="12" t="n">
        <x:v>46220</x:v>
      </x:c>
      <x:c r="C21" t="str">
        <x:v>MetalNova</x:v>
      </x:c>
      <x:c r="D21" t="str">
        <x:v>Materia prima</x:v>
      </x:c>
      <x:c r="E21" s="10" t="n">
        <x:v>14994.21</x:v>
      </x:c>
      <x:c r="F21" s="12" t="n">
        <x:v>46229</x:v>
      </x:c>
      <x:c r="G21" s="12" t="n">
        <x:v>46228</x:v>
      </x:c>
      <x:c r="H21" t="n">
        <x:v>346</x:v>
      </x:c>
      <x:c r="I21" t="n">
        <x:v>0</x:v>
      </x:c>
      <x:c r="J21" t="str">
        <x:v>Cantidad incorrecta</x:v>
      </x:c>
      <x:c r="K21" t="str">
        <x:v>No</x:v>
      </x:c>
      <x:c r="L21" t="str">
        <x:v>Valencia</x:v>
      </x:c>
      <x:c r="M21" t="n">
        <x:f>IF(AND(B21&gt;=DATE(2026,7,1),B21&lt;=DATE(2026,9,30),G21&gt;=DATE(2026,7,1),G21&lt;=DATE(2026,9,30)),1,0)</x:f>
        <x:v>1</x:v>
      </x:c>
      <x:c r="N21" t="n">
        <x:f>IF(M21=1,IF(G21&lt;=F21,1,0),0)</x:f>
        <x:v>1</x:v>
      </x:c>
      <x:c r="O21" t="n">
        <x:f>IF(AND(M21=1,K21="Sí",G21&gt;F21),1,0)</x:f>
        <x:v>0</x:v>
      </x:c>
      <x:c r="P21" t="n">
        <x:f>IF(AND(M21=1,I21&gt;0),1,0)</x:f>
        <x:v>0</x:v>
      </x:c>
      <x:c r="Q21" t="n">
        <x:f>IF(AND(B21&gt;=DATE(2026,7,1),B21&lt;=DATE(2026,9,30),G21&gt;=DATE(2026,10,1),G21&lt;=DATE(2026,10,7)),1,0)</x:f>
        <x:v>0</x:v>
      </x:c>
      <x:c r="R21" t="n">
        <x:f>IF(AND(B21&gt;=DATE(2026,7,1),B21&lt;=DATE(2026,9,30),G21&gt;DATE(2026,10,7)),1,0)</x:f>
        <x:v>0</x:v>
      </x:c>
      <x:c r="S21" t="n">
        <x:f>IF(AND(M21=1,J21&lt;&gt;"Ninguna"),1,0)</x:f>
        <x:v>1</x:v>
      </x:c>
    </x:row>
    <x:row r="22">
      <x:c r="A22" t="str">
        <x:v>PED-0021</x:v>
      </x:c>
      <x:c r="B22" s="12" t="n">
        <x:v>46273</x:v>
      </x:c>
      <x:c r="C22" t="str">
        <x:v>MecaParts</x:v>
      </x:c>
      <x:c r="D22" t="str">
        <x:v>Componentes mecánicos</x:v>
      </x:c>
      <x:c r="E22" s="10" t="n">
        <x:v>6278.79</x:v>
      </x:c>
      <x:c r="F22" s="12" t="n">
        <x:v>46281</x:v>
      </x:c>
      <x:c r="G22" s="12" t="n">
        <x:v>46287</x:v>
      </x:c>
      <x:c r="H22" t="n">
        <x:v>218</x:v>
      </x:c>
      <x:c r="I22" t="n">
        <x:v>0</x:v>
      </x:c>
      <x:c r="J22" t="str">
        <x:v>Daño transporte</x:v>
      </x:c>
      <x:c r="K22" t="str">
        <x:v>Sí</x:v>
      </x:c>
      <x:c r="L22" t="str">
        <x:v>Valencia</x:v>
      </x:c>
      <x:c r="M22" t="n">
        <x:f>IF(AND(B22&gt;=DATE(2026,7,1),B22&lt;=DATE(2026,9,30),G22&gt;=DATE(2026,7,1),G22&lt;=DATE(2026,9,30)),1,0)</x:f>
        <x:v>1</x:v>
      </x:c>
      <x:c r="N22" t="n">
        <x:f>IF(M22=1,IF(G22&lt;=F22,1,0),0)</x:f>
        <x:v>0</x:v>
      </x:c>
      <x:c r="O22" t="n">
        <x:f>IF(AND(M22=1,K22="Sí",G22&gt;F22),1,0)</x:f>
        <x:v>1</x:v>
      </x:c>
      <x:c r="P22" t="n">
        <x:f>IF(AND(M22=1,I22&gt;0),1,0)</x:f>
        <x:v>0</x:v>
      </x:c>
      <x:c r="Q22" t="n">
        <x:f>IF(AND(B22&gt;=DATE(2026,7,1),B22&lt;=DATE(2026,9,30),G22&gt;=DATE(2026,10,1),G22&lt;=DATE(2026,10,7)),1,0)</x:f>
        <x:v>0</x:v>
      </x:c>
      <x:c r="R22" t="n">
        <x:f>IF(AND(B22&gt;=DATE(2026,7,1),B22&lt;=DATE(2026,9,30),G22&gt;DATE(2026,10,7)),1,0)</x:f>
        <x:v>0</x:v>
      </x:c>
      <x:c r="S22" t="n">
        <x:f>IF(AND(M22=1,J22&lt;&gt;"Ninguna"),1,0)</x:f>
        <x:v>1</x:v>
      </x:c>
    </x:row>
    <x:row r="23">
      <x:c r="A23" t="str">
        <x:v>PED-0022</x:v>
      </x:c>
      <x:c r="B23" s="12" t="n">
        <x:v>46245</x:v>
      </x:c>
      <x:c r="C23" t="str">
        <x:v>ElectraSupply</x:v>
      </x:c>
      <x:c r="D23" t="str">
        <x:v>Componentes eléctricos</x:v>
      </x:c>
      <x:c r="E23" s="10" t="n">
        <x:v>8556.45</x:v>
      </x:c>
      <x:c r="F23" s="12" t="n">
        <x:v>46259</x:v>
      </x:c>
      <x:c r="G23" s="12" t="n">
        <x:v>46264</x:v>
      </x:c>
      <x:c r="H23" t="n">
        <x:v>268</x:v>
      </x:c>
      <x:c r="I23" t="n">
        <x:v>0</x:v>
      </x:c>
      <x:c r="J23" t="str">
        <x:v>Ninguna</x:v>
      </x:c>
      <x:c r="K23" t="str">
        <x:v>No</x:v>
      </x:c>
      <x:c r="L23" t="str">
        <x:v>Zaragoza</x:v>
      </x:c>
      <x:c r="M23" t="n">
        <x:f>IF(AND(B23&gt;=DATE(2026,7,1),B23&lt;=DATE(2026,9,30),G23&gt;=DATE(2026,7,1),G23&lt;=DATE(2026,9,30)),1,0)</x:f>
        <x:v>1</x:v>
      </x:c>
      <x:c r="N23" t="n">
        <x:f>IF(M23=1,IF(G23&lt;=F23,1,0),0)</x:f>
        <x:v>0</x:v>
      </x:c>
      <x:c r="O23" t="n">
        <x:f>IF(AND(M23=1,K23="Sí",G23&gt;F23),1,0)</x:f>
        <x:v>0</x:v>
      </x:c>
      <x:c r="P23" t="n">
        <x:f>IF(AND(M23=1,I23&gt;0),1,0)</x:f>
        <x:v>0</x:v>
      </x:c>
      <x:c r="Q23" t="n">
        <x:f>IF(AND(B23&gt;=DATE(2026,7,1),B23&lt;=DATE(2026,9,30),G23&gt;=DATE(2026,10,1),G23&lt;=DATE(2026,10,7)),1,0)</x:f>
        <x:v>0</x:v>
      </x:c>
      <x:c r="R23" t="n">
        <x:f>IF(AND(B23&gt;=DATE(2026,7,1),B23&lt;=DATE(2026,9,30),G23&gt;DATE(2026,10,7)),1,0)</x:f>
        <x:v>0</x:v>
      </x:c>
      <x:c r="S23" t="n">
        <x:f>IF(AND(M23=1,J23&lt;&gt;"Ninguna"),1,0)</x:f>
        <x:v>0</x:v>
      </x:c>
    </x:row>
    <x:row r="24">
      <x:c r="A24" t="str">
        <x:v>PED-0023</x:v>
      </x:c>
      <x:c r="B24" s="12" t="n">
        <x:v>46255</x:v>
      </x:c>
      <x:c r="C24" t="str">
        <x:v>OfiPlus</x:v>
      </x:c>
      <x:c r="D24" t="str">
        <x:v>Consumibles</x:v>
      </x:c>
      <x:c r="E24" s="10" t="n">
        <x:v>6206.29</x:v>
      </x:c>
      <x:c r="F24" s="12" t="n">
        <x:v>46258</x:v>
      </x:c>
      <x:c r="G24" s="12" t="n">
        <x:v>46259</x:v>
      </x:c>
      <x:c r="H24" t="n">
        <x:v>177</x:v>
      </x:c>
      <x:c r="I24" t="n">
        <x:v>0</x:v>
      </x:c>
      <x:c r="J24" t="str">
        <x:v>Daño transporte</x:v>
      </x:c>
      <x:c r="K24" t="str">
        <x:v>No</x:v>
      </x:c>
      <x:c r="L24" t="str">
        <x:v>Valencia</x:v>
      </x:c>
      <x:c r="M24" t="n">
        <x:f>IF(AND(B24&gt;=DATE(2026,7,1),B24&lt;=DATE(2026,9,30),G24&gt;=DATE(2026,7,1),G24&lt;=DATE(2026,9,30)),1,0)</x:f>
        <x:v>1</x:v>
      </x:c>
      <x:c r="N24" t="n">
        <x:f>IF(M24=1,IF(G24&lt;=F24,1,0),0)</x:f>
        <x:v>0</x:v>
      </x:c>
      <x:c r="O24" t="n">
        <x:f>IF(AND(M24=1,K24="Sí",G24&gt;F24),1,0)</x:f>
        <x:v>0</x:v>
      </x:c>
      <x:c r="P24" t="n">
        <x:f>IF(AND(M24=1,I24&gt;0),1,0)</x:f>
        <x:v>0</x:v>
      </x:c>
      <x:c r="Q24" t="n">
        <x:f>IF(AND(B24&gt;=DATE(2026,7,1),B24&lt;=DATE(2026,9,30),G24&gt;=DATE(2026,10,1),G24&lt;=DATE(2026,10,7)),1,0)</x:f>
        <x:v>0</x:v>
      </x:c>
      <x:c r="R24" t="n">
        <x:f>IF(AND(B24&gt;=DATE(2026,7,1),B24&lt;=DATE(2026,9,30),G24&gt;DATE(2026,10,7)),1,0)</x:f>
        <x:v>0</x:v>
      </x:c>
      <x:c r="S24" t="n">
        <x:f>IF(AND(M24=1,J24&lt;&gt;"Ninguna"),1,0)</x:f>
        <x:v>1</x:v>
      </x:c>
    </x:row>
    <x:row r="25">
      <x:c r="A25" t="str">
        <x:v>PED-0024</x:v>
      </x:c>
      <x:c r="B25" s="12" t="n">
        <x:v>46286</x:v>
      </x:c>
      <x:c r="C25" t="str">
        <x:v>ElectraSupply</x:v>
      </x:c>
      <x:c r="D25" t="str">
        <x:v>Componentes eléctricos</x:v>
      </x:c>
      <x:c r="E25" s="10" t="n">
        <x:v>6626.26</x:v>
      </x:c>
      <x:c r="F25" s="12" t="n">
        <x:v>46298</x:v>
      </x:c>
      <x:c r="G25" s="12" t="n">
        <x:v>46305</x:v>
      </x:c>
      <x:c r="H25" t="n">
        <x:v>135</x:v>
      </x:c>
      <x:c r="I25" t="n">
        <x:v>0</x:v>
      </x:c>
      <x:c r="J25" t="str">
        <x:v>Ninguna</x:v>
      </x:c>
      <x:c r="K25" t="str">
        <x:v>No</x:v>
      </x:c>
      <x:c r="L25" t="str">
        <x:v>Barcelona</x:v>
      </x:c>
      <x:c r="M25" t="n">
        <x:f>IF(AND(B25&gt;=DATE(2026,7,1),B25&lt;=DATE(2026,9,30),G25&gt;=DATE(2026,7,1),G25&lt;=DATE(2026,9,30)),1,0)</x:f>
        <x:v>0</x:v>
      </x:c>
      <x:c r="N25" t="n">
        <x:f>IF(M25=1,IF(G25&lt;=F25,1,0),0)</x:f>
        <x:v>0</x:v>
      </x:c>
      <x:c r="O25" t="n">
        <x:f>IF(AND(M25=1,K25="Sí",G25&gt;F25),1,0)</x:f>
        <x:v>0</x:v>
      </x:c>
      <x:c r="P25" t="n">
        <x:f>IF(AND(M25=1,I25&gt;0),1,0)</x:f>
        <x:v>0</x:v>
      </x:c>
      <x:c r="Q25" t="n">
        <x:f>IF(AND(B25&gt;=DATE(2026,7,1),B25&lt;=DATE(2026,9,30),G25&gt;=DATE(2026,10,1),G25&lt;=DATE(2026,10,7)),1,0)</x:f>
        <x:v>0</x:v>
      </x:c>
      <x:c r="R25" t="n">
        <x:f>IF(AND(B25&gt;=DATE(2026,7,1),B25&lt;=DATE(2026,9,30),G25&gt;DATE(2026,10,7)),1,0)</x:f>
        <x:v>1</x:v>
      </x:c>
      <x:c r="S25" t="n">
        <x:f>IF(AND(M25=1,J25&lt;&gt;"Ninguna"),1,0)</x:f>
        <x:v>0</x:v>
      </x:c>
    </x:row>
    <x:row r="26">
      <x:c r="A26" t="str">
        <x:v>PED-0025</x:v>
      </x:c>
      <x:c r="B26" s="12" t="n">
        <x:v>46241</x:v>
      </x:c>
      <x:c r="C26" t="str">
        <x:v>MecaParts</x:v>
      </x:c>
      <x:c r="D26" t="str">
        <x:v>Componentes mecánicos</x:v>
      </x:c>
      <x:c r="E26" s="10" t="n">
        <x:v>11802.8</x:v>
      </x:c>
      <x:c r="F26" s="12" t="n">
        <x:v>46251</x:v>
      </x:c>
      <x:c r="G26" s="12" t="n">
        <x:v>46249</x:v>
      </x:c>
      <x:c r="H26" t="n">
        <x:v>320</x:v>
      </x:c>
      <x:c r="I26" t="n">
        <x:v>0</x:v>
      </x:c>
      <x:c r="J26" t="str">
        <x:v>Ninguna</x:v>
      </x:c>
      <x:c r="K26" t="str">
        <x:v>No</x:v>
      </x:c>
      <x:c r="L26" t="str">
        <x:v>Barcelona</x:v>
      </x:c>
      <x:c r="M26" t="n">
        <x:f>IF(AND(B26&gt;=DATE(2026,7,1),B26&lt;=DATE(2026,9,30),G26&gt;=DATE(2026,7,1),G26&lt;=DATE(2026,9,30)),1,0)</x:f>
        <x:v>1</x:v>
      </x:c>
      <x:c r="N26" t="n">
        <x:f>IF(M26=1,IF(G26&lt;=F26,1,0),0)</x:f>
        <x:v>1</x:v>
      </x:c>
      <x:c r="O26" t="n">
        <x:f>IF(AND(M26=1,K26="Sí",G26&gt;F26),1,0)</x:f>
        <x:v>0</x:v>
      </x:c>
      <x:c r="P26" t="n">
        <x:f>IF(AND(M26=1,I26&gt;0),1,0)</x:f>
        <x:v>0</x:v>
      </x:c>
      <x:c r="Q26" t="n">
        <x:f>IF(AND(B26&gt;=DATE(2026,7,1),B26&lt;=DATE(2026,9,30),G26&gt;=DATE(2026,10,1),G26&lt;=DATE(2026,10,7)),1,0)</x:f>
        <x:v>0</x:v>
      </x:c>
      <x:c r="R26" t="n">
        <x:f>IF(AND(B26&gt;=DATE(2026,7,1),B26&lt;=DATE(2026,9,30),G26&gt;DATE(2026,10,7)),1,0)</x:f>
        <x:v>0</x:v>
      </x:c>
      <x:c r="S26" t="n">
        <x:f>IF(AND(M26=1,J26&lt;&gt;"Ninguna"),1,0)</x:f>
        <x:v>0</x:v>
      </x:c>
    </x:row>
    <x:row r="27">
      <x:c r="A27" t="str">
        <x:v>PED-0026</x:v>
      </x:c>
      <x:c r="B27" s="12" t="n">
        <x:v>46278</x:v>
      </x:c>
      <x:c r="C27" t="str">
        <x:v>MecaParts</x:v>
      </x:c>
      <x:c r="D27" t="str">
        <x:v>Componentes mecánicos</x:v>
      </x:c>
      <x:c r="E27" s="10" t="n">
        <x:v>9732.85</x:v>
      </x:c>
      <x:c r="F27" s="12" t="n">
        <x:v>46289</x:v>
      </x:c>
      <x:c r="G27" s="12" t="n">
        <x:v>46292</x:v>
      </x:c>
      <x:c r="H27" t="n">
        <x:v>288</x:v>
      </x:c>
      <x:c r="I27" t="n">
        <x:v>0</x:v>
      </x:c>
      <x:c r="J27" t="str">
        <x:v>Ninguna</x:v>
      </x:c>
      <x:c r="K27" t="str">
        <x:v>No</x:v>
      </x:c>
      <x:c r="L27" t="str">
        <x:v>Barcelona</x:v>
      </x:c>
      <x:c r="M27" t="n">
        <x:f>IF(AND(B27&gt;=DATE(2026,7,1),B27&lt;=DATE(2026,9,30),G27&gt;=DATE(2026,7,1),G27&lt;=DATE(2026,9,30)),1,0)</x:f>
        <x:v>1</x:v>
      </x:c>
      <x:c r="N27" t="n">
        <x:f>IF(M27=1,IF(G27&lt;=F27,1,0),0)</x:f>
        <x:v>0</x:v>
      </x:c>
      <x:c r="O27" t="n">
        <x:f>IF(AND(M27=1,K27="Sí",G27&gt;F27),1,0)</x:f>
        <x:v>0</x:v>
      </x:c>
      <x:c r="P27" t="n">
        <x:f>IF(AND(M27=1,I27&gt;0),1,0)</x:f>
        <x:v>0</x:v>
      </x:c>
      <x:c r="Q27" t="n">
        <x:f>IF(AND(B27&gt;=DATE(2026,7,1),B27&lt;=DATE(2026,9,30),G27&gt;=DATE(2026,10,1),G27&lt;=DATE(2026,10,7)),1,0)</x:f>
        <x:v>0</x:v>
      </x:c>
      <x:c r="R27" t="n">
        <x:f>IF(AND(B27&gt;=DATE(2026,7,1),B27&lt;=DATE(2026,9,30),G27&gt;DATE(2026,10,7)),1,0)</x:f>
        <x:v>0</x:v>
      </x:c>
      <x:c r="S27" t="n">
        <x:f>IF(AND(M27=1,J27&lt;&gt;"Ninguna"),1,0)</x:f>
        <x:v>0</x:v>
      </x:c>
    </x:row>
    <x:row r="28">
      <x:c r="A28" t="str">
        <x:v>PED-0027</x:v>
      </x:c>
      <x:c r="B28" s="12" t="n">
        <x:v>46264</x:v>
      </x:c>
      <x:c r="C28" t="str">
        <x:v>OfiPlus</x:v>
      </x:c>
      <x:c r="D28" t="str">
        <x:v>Consumibles</x:v>
      </x:c>
      <x:c r="E28" s="10" t="n">
        <x:v>7546.43</x:v>
      </x:c>
      <x:c r="F28" s="12" t="n">
        <x:v>46270</x:v>
      </x:c>
      <x:c r="G28" s="12" t="n">
        <x:v>46275</x:v>
      </x:c>
      <x:c r="H28" t="n">
        <x:v>303</x:v>
      </x:c>
      <x:c r="I28" t="n">
        <x:v>0</x:v>
      </x:c>
      <x:c r="J28" t="str">
        <x:v>Ninguna</x:v>
      </x:c>
      <x:c r="K28" t="str">
        <x:v>No</x:v>
      </x:c>
      <x:c r="L28" t="str">
        <x:v>Barcelona</x:v>
      </x:c>
      <x:c r="M28" t="n">
        <x:f>IF(AND(B28&gt;=DATE(2026,7,1),B28&lt;=DATE(2026,9,30),G28&gt;=DATE(2026,7,1),G28&lt;=DATE(2026,9,30)),1,0)</x:f>
        <x:v>1</x:v>
      </x:c>
      <x:c r="N28" t="n">
        <x:f>IF(M28=1,IF(G28&lt;=F28,1,0),0)</x:f>
        <x:v>0</x:v>
      </x:c>
      <x:c r="O28" t="n">
        <x:f>IF(AND(M28=1,K28="Sí",G28&gt;F28),1,0)</x:f>
        <x:v>0</x:v>
      </x:c>
      <x:c r="P28" t="n">
        <x:f>IF(AND(M28=1,I28&gt;0),1,0)</x:f>
        <x:v>0</x:v>
      </x:c>
      <x:c r="Q28" t="n">
        <x:f>IF(AND(B28&gt;=DATE(2026,7,1),B28&lt;=DATE(2026,9,30),G28&gt;=DATE(2026,10,1),G28&lt;=DATE(2026,10,7)),1,0)</x:f>
        <x:v>0</x:v>
      </x:c>
      <x:c r="R28" t="n">
        <x:f>IF(AND(B28&gt;=DATE(2026,7,1),B28&lt;=DATE(2026,9,30),G28&gt;DATE(2026,10,7)),1,0)</x:f>
        <x:v>0</x:v>
      </x:c>
      <x:c r="S28" t="n">
        <x:f>IF(AND(M28=1,J28&lt;&gt;"Ninguna"),1,0)</x:f>
        <x:v>0</x:v>
      </x:c>
    </x:row>
    <x:row r="29">
      <x:c r="A29" t="str">
        <x:v>PED-0028</x:v>
      </x:c>
      <x:c r="B29" s="12" t="n">
        <x:v>46240</x:v>
      </x:c>
      <x:c r="C29" t="str">
        <x:v>MecaParts</x:v>
      </x:c>
      <x:c r="D29" t="str">
        <x:v>Componentes mecánicos</x:v>
      </x:c>
      <x:c r="E29" s="10" t="n">
        <x:v>9060.29</x:v>
      </x:c>
      <x:c r="F29" s="12" t="n">
        <x:v>46251</x:v>
      </x:c>
      <x:c r="G29" s="12" t="n">
        <x:v>46249</x:v>
      </x:c>
      <x:c r="H29" t="n">
        <x:v>246</x:v>
      </x:c>
      <x:c r="I29" t="n">
        <x:v>0</x:v>
      </x:c>
      <x:c r="J29" t="str">
        <x:v>Ninguna</x:v>
      </x:c>
      <x:c r="K29" t="str">
        <x:v>Sí</x:v>
      </x:c>
      <x:c r="L29" t="str">
        <x:v>Barcelona</x:v>
      </x:c>
      <x:c r="M29" t="n">
        <x:f>IF(AND(B29&gt;=DATE(2026,7,1),B29&lt;=DATE(2026,9,30),G29&gt;=DATE(2026,7,1),G29&lt;=DATE(2026,9,30)),1,0)</x:f>
        <x:v>1</x:v>
      </x:c>
      <x:c r="N29" t="n">
        <x:f>IF(M29=1,IF(G29&lt;=F29,1,0),0)</x:f>
        <x:v>1</x:v>
      </x:c>
      <x:c r="O29" t="n">
        <x:f>IF(AND(M29=1,K29="Sí",G29&gt;F29),1,0)</x:f>
        <x:v>0</x:v>
      </x:c>
      <x:c r="P29" t="n">
        <x:f>IF(AND(M29=1,I29&gt;0),1,0)</x:f>
        <x:v>0</x:v>
      </x:c>
      <x:c r="Q29" t="n">
        <x:f>IF(AND(B29&gt;=DATE(2026,7,1),B29&lt;=DATE(2026,9,30),G29&gt;=DATE(2026,10,1),G29&lt;=DATE(2026,10,7)),1,0)</x:f>
        <x:v>0</x:v>
      </x:c>
      <x:c r="R29" t="n">
        <x:f>IF(AND(B29&gt;=DATE(2026,7,1),B29&lt;=DATE(2026,9,30),G29&gt;DATE(2026,10,7)),1,0)</x:f>
        <x:v>0</x:v>
      </x:c>
      <x:c r="S29" t="n">
        <x:f>IF(AND(M29=1,J29&lt;&gt;"Ninguna"),1,0)</x:f>
        <x:v>0</x:v>
      </x:c>
    </x:row>
    <x:row r="30">
      <x:c r="A30" t="str">
        <x:v>PED-0029</x:v>
      </x:c>
      <x:c r="B30" s="12" t="n">
        <x:v>46288</x:v>
      </x:c>
      <x:c r="C30" t="str">
        <x:v>PackPro</x:v>
      </x:c>
      <x:c r="D30" t="str">
        <x:v>Embalaje</x:v>
      </x:c>
      <x:c r="E30" s="10" t="n">
        <x:v>972.9</x:v>
      </x:c>
      <x:c r="F30" s="12" t="n">
        <x:v>46295</x:v>
      </x:c>
      <x:c r="G30" s="12" t="n">
        <x:v>46293</x:v>
      </x:c>
      <x:c r="H30" t="n">
        <x:v>94</x:v>
      </x:c>
      <x:c r="I30" t="n">
        <x:v>0</x:v>
      </x:c>
      <x:c r="J30" t="str">
        <x:v>Ninguna</x:v>
      </x:c>
      <x:c r="K30" t="str">
        <x:v>No</x:v>
      </x:c>
      <x:c r="L30" t="str">
        <x:v>Barcelona</x:v>
      </x:c>
      <x:c r="M30" t="n">
        <x:f>IF(AND(B30&gt;=DATE(2026,7,1),B30&lt;=DATE(2026,9,30),G30&gt;=DATE(2026,7,1),G30&lt;=DATE(2026,9,30)),1,0)</x:f>
        <x:v>1</x:v>
      </x:c>
      <x:c r="N30" t="n">
        <x:f>IF(M30=1,IF(G30&lt;=F30,1,0),0)</x:f>
        <x:v>1</x:v>
      </x:c>
      <x:c r="O30" t="n">
        <x:f>IF(AND(M30=1,K30="Sí",G30&gt;F30),1,0)</x:f>
        <x:v>0</x:v>
      </x:c>
      <x:c r="P30" t="n">
        <x:f>IF(AND(M30=1,I30&gt;0),1,0)</x:f>
        <x:v>0</x:v>
      </x:c>
      <x:c r="Q30" t="n">
        <x:f>IF(AND(B30&gt;=DATE(2026,7,1),B30&lt;=DATE(2026,9,30),G30&gt;=DATE(2026,10,1),G30&lt;=DATE(2026,10,7)),1,0)</x:f>
        <x:v>0</x:v>
      </x:c>
      <x:c r="R30" t="n">
        <x:f>IF(AND(B30&gt;=DATE(2026,7,1),B30&lt;=DATE(2026,9,30),G30&gt;DATE(2026,10,7)),1,0)</x:f>
        <x:v>0</x:v>
      </x:c>
      <x:c r="S30" t="n">
        <x:f>IF(AND(M30=1,J30&lt;&gt;"Ninguna"),1,0)</x:f>
        <x:v>0</x:v>
      </x:c>
    </x:row>
    <x:row r="31">
      <x:c r="A31" t="str">
        <x:v>PED-0030</x:v>
      </x:c>
      <x:c r="B31" s="12" t="n">
        <x:v>46277</x:v>
      </x:c>
      <x:c r="C31" t="str">
        <x:v>MetalNova</x:v>
      </x:c>
      <x:c r="D31" t="str">
        <x:v>Materia prima</x:v>
      </x:c>
      <x:c r="E31" s="10" t="n">
        <x:v>2411.97</x:v>
      </x:c>
      <x:c r="F31" s="12" t="n">
        <x:v>46288</x:v>
      </x:c>
      <x:c r="G31" s="12" t="n">
        <x:v>46286</x:v>
      </x:c>
      <x:c r="H31" t="n">
        <x:v>67</x:v>
      </x:c>
      <x:c r="I31" t="n">
        <x:v>0</x:v>
      </x:c>
      <x:c r="J31" t="str">
        <x:v>Ninguna</x:v>
      </x:c>
      <x:c r="K31" t="str">
        <x:v>No</x:v>
      </x:c>
      <x:c r="L31" t="str">
        <x:v>Barcelona</x:v>
      </x:c>
      <x:c r="M31" t="n">
        <x:f>IF(AND(B31&gt;=DATE(2026,7,1),B31&lt;=DATE(2026,9,30),G31&gt;=DATE(2026,7,1),G31&lt;=DATE(2026,9,30)),1,0)</x:f>
        <x:v>1</x:v>
      </x:c>
      <x:c r="N31" t="n">
        <x:f>IF(M31=1,IF(G31&lt;=F31,1,0),0)</x:f>
        <x:v>1</x:v>
      </x:c>
      <x:c r="O31" t="n">
        <x:f>IF(AND(M31=1,K31="Sí",G31&gt;F31),1,0)</x:f>
        <x:v>0</x:v>
      </x:c>
      <x:c r="P31" t="n">
        <x:f>IF(AND(M31=1,I31&gt;0),1,0)</x:f>
        <x:v>0</x:v>
      </x:c>
      <x:c r="Q31" t="n">
        <x:f>IF(AND(B31&gt;=DATE(2026,7,1),B31&lt;=DATE(2026,9,30),G31&gt;=DATE(2026,10,1),G31&lt;=DATE(2026,10,7)),1,0)</x:f>
        <x:v>0</x:v>
      </x:c>
      <x:c r="R31" t="n">
        <x:f>IF(AND(B31&gt;=DATE(2026,7,1),B31&lt;=DATE(2026,9,30),G31&gt;DATE(2026,10,7)),1,0)</x:f>
        <x:v>0</x:v>
      </x:c>
      <x:c r="S31" t="n">
        <x:f>IF(AND(M31=1,J31&lt;&gt;"Ninguna"),1,0)</x:f>
        <x:v>0</x:v>
      </x:c>
    </x:row>
    <x:row r="32">
      <x:c r="A32" t="str">
        <x:v>PED-0031</x:v>
      </x:c>
      <x:c r="B32" s="12" t="n">
        <x:v>46293</x:v>
      </x:c>
      <x:c r="C32" t="str">
        <x:v>MetalNova</x:v>
      </x:c>
      <x:c r="D32" t="str">
        <x:v>Materia prima</x:v>
      </x:c>
      <x:c r="E32" s="10" t="n">
        <x:v>4804.7</x:v>
      </x:c>
      <x:c r="F32" s="12" t="n">
        <x:v>46302</x:v>
      </x:c>
      <x:c r="G32" s="12" t="n">
        <x:v>46302</x:v>
      </x:c>
      <x:c r="H32" t="n">
        <x:v>138</x:v>
      </x:c>
      <x:c r="I32" t="n">
        <x:v>0</x:v>
      </x:c>
      <x:c r="J32" t="str">
        <x:v>Ninguna</x:v>
      </x:c>
      <x:c r="K32" t="str">
        <x:v>Sí</x:v>
      </x:c>
      <x:c r="L32" t="str">
        <x:v>Zaragoza</x:v>
      </x:c>
      <x:c r="M32" t="n">
        <x:f>IF(AND(B32&gt;=DATE(2026,7,1),B32&lt;=DATE(2026,9,30),G32&gt;=DATE(2026,7,1),G32&lt;=DATE(2026,9,30)),1,0)</x:f>
        <x:v>0</x:v>
      </x:c>
      <x:c r="N32" t="n">
        <x:f>IF(M32=1,IF(G32&lt;=F32,1,0),0)</x:f>
        <x:v>0</x:v>
      </x:c>
      <x:c r="O32" t="n">
        <x:f>IF(AND(M32=1,K32="Sí",G32&gt;F32),1,0)</x:f>
        <x:v>0</x:v>
      </x:c>
      <x:c r="P32" t="n">
        <x:f>IF(AND(M32=1,I32&gt;0),1,0)</x:f>
        <x:v>0</x:v>
      </x:c>
      <x:c r="Q32" t="n">
        <x:f>IF(AND(B32&gt;=DATE(2026,7,1),B32&lt;=DATE(2026,9,30),G32&gt;=DATE(2026,10,1),G32&lt;=DATE(2026,10,7)),1,0)</x:f>
        <x:v>1</x:v>
      </x:c>
      <x:c r="R32" t="n">
        <x:f>IF(AND(B32&gt;=DATE(2026,7,1),B32&lt;=DATE(2026,9,30),G32&gt;DATE(2026,10,7)),1,0)</x:f>
        <x:v>0</x:v>
      </x:c>
      <x:c r="S32" t="n">
        <x:f>IF(AND(M32=1,J32&lt;&gt;"Ninguna"),1,0)</x:f>
        <x:v>0</x:v>
      </x:c>
    </x:row>
    <x:row r="33">
      <x:c r="A33" t="str">
        <x:v>PED-0032</x:v>
      </x:c>
      <x:c r="B33" s="12" t="n">
        <x:v>46206</x:v>
      </x:c>
      <x:c r="C33" t="str">
        <x:v>MetalNova</x:v>
      </x:c>
      <x:c r="D33" t="str">
        <x:v>Materia prima</x:v>
      </x:c>
      <x:c r="E33" s="10" t="n">
        <x:v>10446.02</x:v>
      </x:c>
      <x:c r="F33" s="12" t="n">
        <x:v>46215</x:v>
      </x:c>
      <x:c r="G33" s="12" t="n">
        <x:v>46216</x:v>
      </x:c>
      <x:c r="H33" t="n">
        <x:v>391</x:v>
      </x:c>
      <x:c r="I33" t="n">
        <x:v>0</x:v>
      </x:c>
      <x:c r="J33" t="str">
        <x:v>Ninguna</x:v>
      </x:c>
      <x:c r="K33" t="str">
        <x:v>No</x:v>
      </x:c>
      <x:c r="L33" t="str">
        <x:v>Barcelona</x:v>
      </x:c>
      <x:c r="M33" t="n">
        <x:f>IF(AND(B33&gt;=DATE(2026,7,1),B33&lt;=DATE(2026,9,30),G33&gt;=DATE(2026,7,1),G33&lt;=DATE(2026,9,30)),1,0)</x:f>
        <x:v>1</x:v>
      </x:c>
      <x:c r="N33" t="n">
        <x:f>IF(M33=1,IF(G33&lt;=F33,1,0),0)</x:f>
        <x:v>0</x:v>
      </x:c>
      <x:c r="O33" t="n">
        <x:f>IF(AND(M33=1,K33="Sí",G33&gt;F33),1,0)</x:f>
        <x:v>0</x:v>
      </x:c>
      <x:c r="P33" t="n">
        <x:f>IF(AND(M33=1,I33&gt;0),1,0)</x:f>
        <x:v>0</x:v>
      </x:c>
      <x:c r="Q33" t="n">
        <x:f>IF(AND(B33&gt;=DATE(2026,7,1),B33&lt;=DATE(2026,9,30),G33&gt;=DATE(2026,10,1),G33&lt;=DATE(2026,10,7)),1,0)</x:f>
        <x:v>0</x:v>
      </x:c>
      <x:c r="R33" t="n">
        <x:f>IF(AND(B33&gt;=DATE(2026,7,1),B33&lt;=DATE(2026,9,30),G33&gt;DATE(2026,10,7)),1,0)</x:f>
        <x:v>0</x:v>
      </x:c>
      <x:c r="S33" t="n">
        <x:f>IF(AND(M33=1,J33&lt;&gt;"Ninguna"),1,0)</x:f>
        <x:v>0</x:v>
      </x:c>
    </x:row>
    <x:row r="34">
      <x:c r="A34" t="str">
        <x:v>PED-0033</x:v>
      </x:c>
      <x:c r="B34" s="12" t="n">
        <x:v>46270</x:v>
      </x:c>
      <x:c r="C34" t="str">
        <x:v>MecaParts</x:v>
      </x:c>
      <x:c r="D34" t="str">
        <x:v>Componentes mecánicos</x:v>
      </x:c>
      <x:c r="E34" s="10" t="n">
        <x:v>15150.31</x:v>
      </x:c>
      <x:c r="F34" s="12" t="n">
        <x:v>46279</x:v>
      </x:c>
      <x:c r="G34" s="12" t="n">
        <x:v>46278</x:v>
      </x:c>
      <x:c r="H34" t="n">
        <x:v>359</x:v>
      </x:c>
      <x:c r="I34" t="n">
        <x:v>0</x:v>
      </x:c>
      <x:c r="J34" t="str">
        <x:v>Ninguna</x:v>
      </x:c>
      <x:c r="K34" t="str">
        <x:v>No</x:v>
      </x:c>
      <x:c r="L34" t="str">
        <x:v>Valencia</x:v>
      </x:c>
      <x:c r="M34" t="n">
        <x:f>IF(AND(B34&gt;=DATE(2026,7,1),B34&lt;=DATE(2026,9,30),G34&gt;=DATE(2026,7,1),G34&lt;=DATE(2026,9,30)),1,0)</x:f>
        <x:v>1</x:v>
      </x:c>
      <x:c r="N34" t="n">
        <x:f>IF(M34=1,IF(G34&lt;=F34,1,0),0)</x:f>
        <x:v>1</x:v>
      </x:c>
      <x:c r="O34" t="n">
        <x:f>IF(AND(M34=1,K34="Sí",G34&gt;F34),1,0)</x:f>
        <x:v>0</x:v>
      </x:c>
      <x:c r="P34" t="n">
        <x:f>IF(AND(M34=1,I34&gt;0),1,0)</x:f>
        <x:v>0</x:v>
      </x:c>
      <x:c r="Q34" t="n">
        <x:f>IF(AND(B34&gt;=DATE(2026,7,1),B34&lt;=DATE(2026,9,30),G34&gt;=DATE(2026,10,1),G34&lt;=DATE(2026,10,7)),1,0)</x:f>
        <x:v>0</x:v>
      </x:c>
      <x:c r="R34" t="n">
        <x:f>IF(AND(B34&gt;=DATE(2026,7,1),B34&lt;=DATE(2026,9,30),G34&gt;DATE(2026,10,7)),1,0)</x:f>
        <x:v>0</x:v>
      </x:c>
      <x:c r="S34" t="n">
        <x:f>IF(AND(M34=1,J34&lt;&gt;"Ninguna"),1,0)</x:f>
        <x:v>0</x:v>
      </x:c>
    </x:row>
    <x:row r="35">
      <x:c r="A35" t="str">
        <x:v>PED-0034</x:v>
      </x:c>
      <x:c r="B35" s="12" t="n">
        <x:v>46239</x:v>
      </x:c>
      <x:c r="C35" t="str">
        <x:v>MetalNova</x:v>
      </x:c>
      <x:c r="D35" t="str">
        <x:v>Componentes mecánicos</x:v>
      </x:c>
      <x:c r="E35" s="10" t="n">
        <x:v>1376.34</x:v>
      </x:c>
      <x:c r="F35" s="12" t="n">
        <x:v>46250</x:v>
      </x:c>
      <x:c r="G35" s="12" t="n">
        <x:v>46248</x:v>
      </x:c>
      <x:c r="H35" t="n">
        <x:v>46</x:v>
      </x:c>
      <x:c r="I35" t="n">
        <x:v>0</x:v>
      </x:c>
      <x:c r="J35" t="str">
        <x:v>Documentación</x:v>
      </x:c>
      <x:c r="K35" t="str">
        <x:v>No</x:v>
      </x:c>
      <x:c r="L35" t="str">
        <x:v>Zaragoza</x:v>
      </x:c>
      <x:c r="M35" t="n">
        <x:f>IF(AND(B35&gt;=DATE(2026,7,1),B35&lt;=DATE(2026,9,30),G35&gt;=DATE(2026,7,1),G35&lt;=DATE(2026,9,30)),1,0)</x:f>
        <x:v>1</x:v>
      </x:c>
      <x:c r="N35" t="n">
        <x:f>IF(M35=1,IF(G35&lt;=F35,1,0),0)</x:f>
        <x:v>1</x:v>
      </x:c>
      <x:c r="O35" t="n">
        <x:f>IF(AND(M35=1,K35="Sí",G35&gt;F35),1,0)</x:f>
        <x:v>0</x:v>
      </x:c>
      <x:c r="P35" t="n">
        <x:f>IF(AND(M35=1,I35&gt;0),1,0)</x:f>
        <x:v>0</x:v>
      </x:c>
      <x:c r="Q35" t="n">
        <x:f>IF(AND(B35&gt;=DATE(2026,7,1),B35&lt;=DATE(2026,9,30),G35&gt;=DATE(2026,10,1),G35&lt;=DATE(2026,10,7)),1,0)</x:f>
        <x:v>0</x:v>
      </x:c>
      <x:c r="R35" t="n">
        <x:f>IF(AND(B35&gt;=DATE(2026,7,1),B35&lt;=DATE(2026,9,30),G35&gt;DATE(2026,10,7)),1,0)</x:f>
        <x:v>0</x:v>
      </x:c>
      <x:c r="S35" t="n">
        <x:f>IF(AND(M35=1,J35&lt;&gt;"Ninguna"),1,0)</x:f>
        <x:v>1</x:v>
      </x:c>
    </x:row>
    <x:row r="36">
      <x:c r="A36" t="str">
        <x:v>PED-0035</x:v>
      </x:c>
      <x:c r="B36" s="12" t="n">
        <x:v>46235</x:v>
      </x:c>
      <x:c r="C36" t="str">
        <x:v>OfiPlus</x:v>
      </x:c>
      <x:c r="D36" t="str">
        <x:v>Consumibles</x:v>
      </x:c>
      <x:c r="E36" s="10" t="n">
        <x:v>7488.17</x:v>
      </x:c>
      <x:c r="F36" s="12" t="n">
        <x:v>46238</x:v>
      </x:c>
      <x:c r="G36" s="12" t="n">
        <x:v>46236</x:v>
      </x:c>
      <x:c r="H36" t="n">
        <x:v>230</x:v>
      </x:c>
      <x:c r="I36" t="n">
        <x:v>0</x:v>
      </x:c>
      <x:c r="J36" t="str">
        <x:v>Ninguna</x:v>
      </x:c>
      <x:c r="K36" t="str">
        <x:v>Sí</x:v>
      </x:c>
      <x:c r="L36" t="str">
        <x:v>Barcelona</x:v>
      </x:c>
      <x:c r="M36" t="n">
        <x:f>IF(AND(B36&gt;=DATE(2026,7,1),B36&lt;=DATE(2026,9,30),G36&gt;=DATE(2026,7,1),G36&lt;=DATE(2026,9,30)),1,0)</x:f>
        <x:v>1</x:v>
      </x:c>
      <x:c r="N36" t="n">
        <x:f>IF(M36=1,IF(G36&lt;=F36,1,0),0)</x:f>
        <x:v>1</x:v>
      </x:c>
      <x:c r="O36" t="n">
        <x:f>IF(AND(M36=1,K36="Sí",G36&gt;F36),1,0)</x:f>
        <x:v>0</x:v>
      </x:c>
      <x:c r="P36" t="n">
        <x:f>IF(AND(M36=1,I36&gt;0),1,0)</x:f>
        <x:v>0</x:v>
      </x:c>
      <x:c r="Q36" t="n">
        <x:f>IF(AND(B36&gt;=DATE(2026,7,1),B36&lt;=DATE(2026,9,30),G36&gt;=DATE(2026,10,1),G36&lt;=DATE(2026,10,7)),1,0)</x:f>
        <x:v>0</x:v>
      </x:c>
      <x:c r="R36" t="n">
        <x:f>IF(AND(B36&gt;=DATE(2026,7,1),B36&lt;=DATE(2026,9,30),G36&gt;DATE(2026,10,7)),1,0)</x:f>
        <x:v>0</x:v>
      </x:c>
      <x:c r="S36" t="n">
        <x:f>IF(AND(M36=1,J36&lt;&gt;"Ninguna"),1,0)</x:f>
        <x:v>0</x:v>
      </x:c>
    </x:row>
    <x:row r="37">
      <x:c r="A37" t="str">
        <x:v>PED-0036</x:v>
      </x:c>
      <x:c r="B37" s="12" t="n">
        <x:v>46233</x:v>
      </x:c>
      <x:c r="C37" t="str">
        <x:v>MetalNova</x:v>
      </x:c>
      <x:c r="D37" t="str">
        <x:v>Materia prima</x:v>
      </x:c>
      <x:c r="E37" s="10" t="n">
        <x:v>3629.85</x:v>
      </x:c>
      <x:c r="F37" s="12" t="n">
        <x:v>46244</x:v>
      </x:c>
      <x:c r="G37" s="12" t="n">
        <x:v>46251</x:v>
      </x:c>
      <x:c r="H37" t="n">
        <x:v>180</x:v>
      </x:c>
      <x:c r="I37" t="n">
        <x:v>0</x:v>
      </x:c>
      <x:c r="J37" t="str">
        <x:v>Retraso</x:v>
      </x:c>
      <x:c r="K37" t="str">
        <x:v>No</x:v>
      </x:c>
      <x:c r="L37" t="str">
        <x:v>Valencia</x:v>
      </x:c>
      <x:c r="M37" t="n">
        <x:f>IF(AND(B37&gt;=DATE(2026,7,1),B37&lt;=DATE(2026,9,30),G37&gt;=DATE(2026,7,1),G37&lt;=DATE(2026,9,30)),1,0)</x:f>
        <x:v>1</x:v>
      </x:c>
      <x:c r="N37" t="n">
        <x:f>IF(M37=1,IF(G37&lt;=F37,1,0),0)</x:f>
        <x:v>0</x:v>
      </x:c>
      <x:c r="O37" t="n">
        <x:f>IF(AND(M37=1,K37="Sí",G37&gt;F37),1,0)</x:f>
        <x:v>0</x:v>
      </x:c>
      <x:c r="P37" t="n">
        <x:f>IF(AND(M37=1,I37&gt;0),1,0)</x:f>
        <x:v>0</x:v>
      </x:c>
      <x:c r="Q37" t="n">
        <x:f>IF(AND(B37&gt;=DATE(2026,7,1),B37&lt;=DATE(2026,9,30),G37&gt;=DATE(2026,10,1),G37&lt;=DATE(2026,10,7)),1,0)</x:f>
        <x:v>0</x:v>
      </x:c>
      <x:c r="R37" t="n">
        <x:f>IF(AND(B37&gt;=DATE(2026,7,1),B37&lt;=DATE(2026,9,30),G37&gt;DATE(2026,10,7)),1,0)</x:f>
        <x:v>0</x:v>
      </x:c>
      <x:c r="S37" t="n">
        <x:f>IF(AND(M37=1,J37&lt;&gt;"Ninguna"),1,0)</x:f>
        <x:v>1</x:v>
      </x:c>
    </x:row>
    <x:row r="38">
      <x:c r="A38" t="str">
        <x:v>PED-0037</x:v>
      </x:c>
      <x:c r="B38" s="12" t="n">
        <x:v>46209</x:v>
      </x:c>
      <x:c r="C38" t="str">
        <x:v>PackPro</x:v>
      </x:c>
      <x:c r="D38" t="str">
        <x:v>Embalaje</x:v>
      </x:c>
      <x:c r="E38" s="10" t="n">
        <x:v>787.14</x:v>
      </x:c>
      <x:c r="F38" s="12" t="n">
        <x:v>46214</x:v>
      </x:c>
      <x:c r="G38" s="12" t="n">
        <x:v>46224</x:v>
      </x:c>
      <x:c r="H38" t="n">
        <x:v>32</x:v>
      </x:c>
      <x:c r="I38" t="n">
        <x:v>0</x:v>
      </x:c>
      <x:c r="J38" t="str">
        <x:v>Retraso</x:v>
      </x:c>
      <x:c r="K38" t="str">
        <x:v>Sí</x:v>
      </x:c>
      <x:c r="L38" t="str">
        <x:v>Barcelona</x:v>
      </x:c>
      <x:c r="M38" t="n">
        <x:f>IF(AND(B38&gt;=DATE(2026,7,1),B38&lt;=DATE(2026,9,30),G38&gt;=DATE(2026,7,1),G38&lt;=DATE(2026,9,30)),1,0)</x:f>
        <x:v>1</x:v>
      </x:c>
      <x:c r="N38" t="n">
        <x:f>IF(M38=1,IF(G38&lt;=F38,1,0),0)</x:f>
        <x:v>0</x:v>
      </x:c>
      <x:c r="O38" t="n">
        <x:f>IF(AND(M38=1,K38="Sí",G38&gt;F38),1,0)</x:f>
        <x:v>1</x:v>
      </x:c>
      <x:c r="P38" t="n">
        <x:f>IF(AND(M38=1,I38&gt;0),1,0)</x:f>
        <x:v>0</x:v>
      </x:c>
      <x:c r="Q38" t="n">
        <x:f>IF(AND(B38&gt;=DATE(2026,7,1),B38&lt;=DATE(2026,9,30),G38&gt;=DATE(2026,10,1),G38&lt;=DATE(2026,10,7)),1,0)</x:f>
        <x:v>0</x:v>
      </x:c>
      <x:c r="R38" t="n">
        <x:f>IF(AND(B38&gt;=DATE(2026,7,1),B38&lt;=DATE(2026,9,30),G38&gt;DATE(2026,10,7)),1,0)</x:f>
        <x:v>0</x:v>
      </x:c>
      <x:c r="S38" t="n">
        <x:f>IF(AND(M38=1,J38&lt;&gt;"Ninguna"),1,0)</x:f>
        <x:v>1</x:v>
      </x:c>
    </x:row>
    <x:row r="39">
      <x:c r="A39" t="str">
        <x:v>PED-0038</x:v>
      </x:c>
      <x:c r="B39" s="12" t="n">
        <x:v>46233</x:v>
      </x:c>
      <x:c r="C39" t="str">
        <x:v>OfiPlus</x:v>
      </x:c>
      <x:c r="D39" t="str">
        <x:v>Consumibles</x:v>
      </x:c>
      <x:c r="E39" s="10" t="n">
        <x:v>2771.24</x:v>
      </x:c>
      <x:c r="F39" s="12" t="n">
        <x:v>46239</x:v>
      </x:c>
      <x:c r="G39" s="12" t="n">
        <x:v>46239</x:v>
      </x:c>
      <x:c r="H39" t="n">
        <x:v>146</x:v>
      </x:c>
      <x:c r="I39" t="n">
        <x:v>0</x:v>
      </x:c>
      <x:c r="J39" t="str">
        <x:v>Ninguna</x:v>
      </x:c>
      <x:c r="K39" t="str">
        <x:v>No</x:v>
      </x:c>
      <x:c r="L39" t="str">
        <x:v>Barcelona</x:v>
      </x:c>
      <x:c r="M39" t="n">
        <x:f>IF(AND(B39&gt;=DATE(2026,7,1),B39&lt;=DATE(2026,9,30),G39&gt;=DATE(2026,7,1),G39&lt;=DATE(2026,9,30)),1,0)</x:f>
        <x:v>1</x:v>
      </x:c>
      <x:c r="N39" t="n">
        <x:f>IF(M39=1,IF(G39&lt;=F39,1,0),0)</x:f>
        <x:v>1</x:v>
      </x:c>
      <x:c r="O39" t="n">
        <x:f>IF(AND(M39=1,K39="Sí",G39&gt;F39),1,0)</x:f>
        <x:v>0</x:v>
      </x:c>
      <x:c r="P39" t="n">
        <x:f>IF(AND(M39=1,I39&gt;0),1,0)</x:f>
        <x:v>0</x:v>
      </x:c>
      <x:c r="Q39" t="n">
        <x:f>IF(AND(B39&gt;=DATE(2026,7,1),B39&lt;=DATE(2026,9,30),G39&gt;=DATE(2026,10,1),G39&lt;=DATE(2026,10,7)),1,0)</x:f>
        <x:v>0</x:v>
      </x:c>
      <x:c r="R39" t="n">
        <x:f>IF(AND(B39&gt;=DATE(2026,7,1),B39&lt;=DATE(2026,9,30),G39&gt;DATE(2026,10,7)),1,0)</x:f>
        <x:v>0</x:v>
      </x:c>
      <x:c r="S39" t="n">
        <x:f>IF(AND(M39=1,J39&lt;&gt;"Ninguna"),1,0)</x:f>
        <x:v>0</x:v>
      </x:c>
    </x:row>
    <x:row r="40">
      <x:c r="A40" t="str">
        <x:v>PED-0039</x:v>
      </x:c>
      <x:c r="B40" s="12" t="n">
        <x:v>46280</x:v>
      </x:c>
      <x:c r="C40" t="str">
        <x:v>OfiPlus</x:v>
      </x:c>
      <x:c r="D40" t="str">
        <x:v>Consumibles</x:v>
      </x:c>
      <x:c r="E40" s="10" t="n">
        <x:v>1299.76</x:v>
      </x:c>
      <x:c r="F40" s="12" t="n">
        <x:v>46286</x:v>
      </x:c>
      <x:c r="G40" s="12" t="n">
        <x:v>46287</x:v>
      </x:c>
      <x:c r="H40" t="n">
        <x:v>97</x:v>
      </x:c>
      <x:c r="I40" t="n">
        <x:v>0</x:v>
      </x:c>
      <x:c r="J40" t="str">
        <x:v>Documentación</x:v>
      </x:c>
      <x:c r="K40" t="str">
        <x:v>No</x:v>
      </x:c>
      <x:c r="L40" t="str">
        <x:v>Barcelona</x:v>
      </x:c>
      <x:c r="M40" t="n">
        <x:f>IF(AND(B40&gt;=DATE(2026,7,1),B40&lt;=DATE(2026,9,30),G40&gt;=DATE(2026,7,1),G40&lt;=DATE(2026,9,30)),1,0)</x:f>
        <x:v>1</x:v>
      </x:c>
      <x:c r="N40" t="n">
        <x:f>IF(M40=1,IF(G40&lt;=F40,1,0),0)</x:f>
        <x:v>0</x:v>
      </x:c>
      <x:c r="O40" t="n">
        <x:f>IF(AND(M40=1,K40="Sí",G40&gt;F40),1,0)</x:f>
        <x:v>0</x:v>
      </x:c>
      <x:c r="P40" t="n">
        <x:f>IF(AND(M40=1,I40&gt;0),1,0)</x:f>
        <x:v>0</x:v>
      </x:c>
      <x:c r="Q40" t="n">
        <x:f>IF(AND(B40&gt;=DATE(2026,7,1),B40&lt;=DATE(2026,9,30),G40&gt;=DATE(2026,10,1),G40&lt;=DATE(2026,10,7)),1,0)</x:f>
        <x:v>0</x:v>
      </x:c>
      <x:c r="R40" t="n">
        <x:f>IF(AND(B40&gt;=DATE(2026,7,1),B40&lt;=DATE(2026,9,30),G40&gt;DATE(2026,10,7)),1,0)</x:f>
        <x:v>0</x:v>
      </x:c>
      <x:c r="S40" t="n">
        <x:f>IF(AND(M40=1,J40&lt;&gt;"Ninguna"),1,0)</x:f>
        <x:v>1</x:v>
      </x:c>
    </x:row>
    <x:row r="41">
      <x:c r="A41" t="str">
        <x:v>PED-0040</x:v>
      </x:c>
      <x:c r="B41" s="12" t="n">
        <x:v>46266</x:v>
      </x:c>
      <x:c r="C41" t="str">
        <x:v>MetalNova</x:v>
      </x:c>
      <x:c r="D41" t="str">
        <x:v>Materia prima</x:v>
      </x:c>
      <x:c r="E41" s="10" t="n">
        <x:v>4981.33</x:v>
      </x:c>
      <x:c r="F41" s="12" t="n">
        <x:v>46277</x:v>
      </x:c>
      <x:c r="G41" s="12" t="n">
        <x:v>46280</x:v>
      </x:c>
      <x:c r="H41" t="n">
        <x:v>280</x:v>
      </x:c>
      <x:c r="I41" t="n">
        <x:v>0</x:v>
      </x:c>
      <x:c r="J41" t="str">
        <x:v>Ninguna</x:v>
      </x:c>
      <x:c r="K41" t="str">
        <x:v>No</x:v>
      </x:c>
      <x:c r="L41" t="str">
        <x:v>Valencia</x:v>
      </x:c>
      <x:c r="M41" t="n">
        <x:f>IF(AND(B41&gt;=DATE(2026,7,1),B41&lt;=DATE(2026,9,30),G41&gt;=DATE(2026,7,1),G41&lt;=DATE(2026,9,30)),1,0)</x:f>
        <x:v>1</x:v>
      </x:c>
      <x:c r="N41" t="n">
        <x:f>IF(M41=1,IF(G41&lt;=F41,1,0),0)</x:f>
        <x:v>0</x:v>
      </x:c>
      <x:c r="O41" t="n">
        <x:f>IF(AND(M41=1,K41="Sí",G41&gt;F41),1,0)</x:f>
        <x:v>0</x:v>
      </x:c>
      <x:c r="P41" t="n">
        <x:f>IF(AND(M41=1,I41&gt;0),1,0)</x:f>
        <x:v>0</x:v>
      </x:c>
      <x:c r="Q41" t="n">
        <x:f>IF(AND(B41&gt;=DATE(2026,7,1),B41&lt;=DATE(2026,9,30),G41&gt;=DATE(2026,10,1),G41&lt;=DATE(2026,10,7)),1,0)</x:f>
        <x:v>0</x:v>
      </x:c>
      <x:c r="R41" t="n">
        <x:f>IF(AND(B41&gt;=DATE(2026,7,1),B41&lt;=DATE(2026,9,30),G41&gt;DATE(2026,10,7)),1,0)</x:f>
        <x:v>0</x:v>
      </x:c>
      <x:c r="S41" t="n">
        <x:f>IF(AND(M41=1,J41&lt;&gt;"Ninguna"),1,0)</x:f>
        <x:v>0</x:v>
      </x:c>
    </x:row>
    <x:row r="42">
      <x:c r="A42" t="str">
        <x:v>PED-0041</x:v>
      </x:c>
      <x:c r="B42" s="12" t="n">
        <x:v>46208</x:v>
      </x:c>
      <x:c r="C42" t="str">
        <x:v>MetalNova</x:v>
      </x:c>
      <x:c r="D42" t="str">
        <x:v>Materia prima</x:v>
      </x:c>
      <x:c r="E42" s="10" t="n">
        <x:v>3574.52</x:v>
      </x:c>
      <x:c r="F42" s="12" t="n">
        <x:v>46218</x:v>
      </x:c>
      <x:c r="G42" s="12" t="n">
        <x:v>46221</x:v>
      </x:c>
      <x:c r="H42" t="n">
        <x:v>73</x:v>
      </x:c>
      <x:c r="I42" t="n">
        <x:v>9</x:v>
      </x:c>
      <x:c r="J42" t="str">
        <x:v>Calidad</x:v>
      </x:c>
      <x:c r="K42" t="str">
        <x:v>No</x:v>
      </x:c>
      <x:c r="L42" t="str">
        <x:v>Zaragoza</x:v>
      </x:c>
      <x:c r="M42" t="n">
        <x:f>IF(AND(B42&gt;=DATE(2026,7,1),B42&lt;=DATE(2026,9,30),G42&gt;=DATE(2026,7,1),G42&lt;=DATE(2026,9,30)),1,0)</x:f>
        <x:v>1</x:v>
      </x:c>
      <x:c r="N42" t="n">
        <x:f>IF(M42=1,IF(G42&lt;=F42,1,0),0)</x:f>
        <x:v>0</x:v>
      </x:c>
      <x:c r="O42" t="n">
        <x:f>IF(AND(M42=1,K42="Sí",G42&gt;F42),1,0)</x:f>
        <x:v>0</x:v>
      </x:c>
      <x:c r="P42" t="n">
        <x:f>IF(AND(M42=1,I42&gt;0),1,0)</x:f>
        <x:v>1</x:v>
      </x:c>
      <x:c r="Q42" t="n">
        <x:f>IF(AND(B42&gt;=DATE(2026,7,1),B42&lt;=DATE(2026,9,30),G42&gt;=DATE(2026,10,1),G42&lt;=DATE(2026,10,7)),1,0)</x:f>
        <x:v>0</x:v>
      </x:c>
      <x:c r="R42" t="n">
        <x:f>IF(AND(B42&gt;=DATE(2026,7,1),B42&lt;=DATE(2026,9,30),G42&gt;DATE(2026,10,7)),1,0)</x:f>
        <x:v>0</x:v>
      </x:c>
      <x:c r="S42" t="n">
        <x:f>IF(AND(M42=1,J42&lt;&gt;"Ninguna"),1,0)</x:f>
        <x:v>1</x:v>
      </x:c>
    </x:row>
    <x:row r="43">
      <x:c r="A43" t="str">
        <x:v>PED-0042</x:v>
      </x:c>
      <x:c r="B43" s="12" t="n">
        <x:v>46292</x:v>
      </x:c>
      <x:c r="C43" t="str">
        <x:v>MecaParts</x:v>
      </x:c>
      <x:c r="D43" t="str">
        <x:v>Componentes mecánicos</x:v>
      </x:c>
      <x:c r="E43" s="10" t="n">
        <x:v>4802.8</x:v>
      </x:c>
      <x:c r="F43" s="12" t="n">
        <x:v>46302</x:v>
      </x:c>
      <x:c r="G43" s="12" t="n">
        <x:v>46304</x:v>
      </x:c>
      <x:c r="H43" t="n">
        <x:v>287</x:v>
      </x:c>
      <x:c r="I43" t="n">
        <x:v>0</x:v>
      </x:c>
      <x:c r="J43" t="str">
        <x:v>Documentación</x:v>
      </x:c>
      <x:c r="K43" t="str">
        <x:v>No</x:v>
      </x:c>
      <x:c r="L43" t="str">
        <x:v>Zaragoza</x:v>
      </x:c>
      <x:c r="M43" t="n">
        <x:f>IF(AND(B43&gt;=DATE(2026,7,1),B43&lt;=DATE(2026,9,30),G43&gt;=DATE(2026,7,1),G43&lt;=DATE(2026,9,30)),1,0)</x:f>
        <x:v>0</x:v>
      </x:c>
      <x:c r="N43" t="n">
        <x:f>IF(M43=1,IF(G43&lt;=F43,1,0),0)</x:f>
        <x:v>0</x:v>
      </x:c>
      <x:c r="O43" t="n">
        <x:f>IF(AND(M43=1,K43="Sí",G43&gt;F43),1,0)</x:f>
        <x:v>0</x:v>
      </x:c>
      <x:c r="P43" t="n">
        <x:f>IF(AND(M43=1,I43&gt;0),1,0)</x:f>
        <x:v>0</x:v>
      </x:c>
      <x:c r="Q43" t="n">
        <x:f>IF(AND(B43&gt;=DATE(2026,7,1),B43&lt;=DATE(2026,9,30),G43&gt;=DATE(2026,10,1),G43&lt;=DATE(2026,10,7)),1,0)</x:f>
        <x:v>0</x:v>
      </x:c>
      <x:c r="R43" t="n">
        <x:f>IF(AND(B43&gt;=DATE(2026,7,1),B43&lt;=DATE(2026,9,30),G43&gt;DATE(2026,10,7)),1,0)</x:f>
        <x:v>1</x:v>
      </x:c>
      <x:c r="S43" t="n">
        <x:f>IF(AND(M43=1,J43&lt;&gt;"Ninguna"),1,0)</x:f>
        <x:v>0</x:v>
      </x:c>
    </x:row>
    <x:row r="44">
      <x:c r="A44" t="str">
        <x:v>PED-0043</x:v>
      </x:c>
      <x:c r="B44" s="12" t="n">
        <x:v>46236</x:v>
      </x:c>
      <x:c r="C44" t="str">
        <x:v>ElectraSupply</x:v>
      </x:c>
      <x:c r="D44" t="str">
        <x:v>Componentes eléctricos</x:v>
      </x:c>
      <x:c r="E44" s="10" t="n">
        <x:v>12096.61</x:v>
      </x:c>
      <x:c r="F44" s="12" t="n">
        <x:v>46249</x:v>
      </x:c>
      <x:c r="G44" s="12" t="n">
        <x:v>46253</x:v>
      </x:c>
      <x:c r="H44" t="n">
        <x:v>267</x:v>
      </x:c>
      <x:c r="I44" t="n">
        <x:v>0</x:v>
      </x:c>
      <x:c r="J44" t="str">
        <x:v>Ninguna</x:v>
      </x:c>
      <x:c r="K44" t="str">
        <x:v>No</x:v>
      </x:c>
      <x:c r="L44" t="str">
        <x:v>Valencia</x:v>
      </x:c>
      <x:c r="M44" t="n">
        <x:f>IF(AND(B44&gt;=DATE(2026,7,1),B44&lt;=DATE(2026,9,30),G44&gt;=DATE(2026,7,1),G44&lt;=DATE(2026,9,30)),1,0)</x:f>
        <x:v>1</x:v>
      </x:c>
      <x:c r="N44" t="n">
        <x:f>IF(M44=1,IF(G44&lt;=F44,1,0),0)</x:f>
        <x:v>0</x:v>
      </x:c>
      <x:c r="O44" t="n">
        <x:f>IF(AND(M44=1,K44="Sí",G44&gt;F44),1,0)</x:f>
        <x:v>0</x:v>
      </x:c>
      <x:c r="P44" t="n">
        <x:f>IF(AND(M44=1,I44&gt;0),1,0)</x:f>
        <x:v>0</x:v>
      </x:c>
      <x:c r="Q44" t="n">
        <x:f>IF(AND(B44&gt;=DATE(2026,7,1),B44&lt;=DATE(2026,9,30),G44&gt;=DATE(2026,10,1),G44&lt;=DATE(2026,10,7)),1,0)</x:f>
        <x:v>0</x:v>
      </x:c>
      <x:c r="R44" t="n">
        <x:f>IF(AND(B44&gt;=DATE(2026,7,1),B44&lt;=DATE(2026,9,30),G44&gt;DATE(2026,10,7)),1,0)</x:f>
        <x:v>0</x:v>
      </x:c>
      <x:c r="S44" t="n">
        <x:f>IF(AND(M44=1,J44&lt;&gt;"Ninguna"),1,0)</x:f>
        <x:v>0</x:v>
      </x:c>
    </x:row>
    <x:row r="45">
      <x:c r="A45" t="str">
        <x:v>PED-0044</x:v>
      </x:c>
      <x:c r="B45" s="12" t="n">
        <x:v>46294</x:v>
      </x:c>
      <x:c r="C45" t="str">
        <x:v>MetalNova</x:v>
      </x:c>
      <x:c r="D45" t="str">
        <x:v>Componentes mecánicos</x:v>
      </x:c>
      <x:c r="E45" s="10" t="n">
        <x:v>1363.33</x:v>
      </x:c>
      <x:c r="F45" s="12" t="n">
        <x:v>46306</x:v>
      </x:c>
      <x:c r="G45" s="12" t="n">
        <x:v>46307</x:v>
      </x:c>
      <x:c r="H45" t="n">
        <x:v>128</x:v>
      </x:c>
      <x:c r="I45" t="n">
        <x:v>0</x:v>
      </x:c>
      <x:c r="J45" t="str">
        <x:v>Ninguna</x:v>
      </x:c>
      <x:c r="K45" t="str">
        <x:v>No</x:v>
      </x:c>
      <x:c r="L45" t="str">
        <x:v>Barcelona</x:v>
      </x:c>
      <x:c r="M45" t="n">
        <x:f>IF(AND(B45&gt;=DATE(2026,7,1),B45&lt;=DATE(2026,9,30),G45&gt;=DATE(2026,7,1),G45&lt;=DATE(2026,9,30)),1,0)</x:f>
        <x:v>0</x:v>
      </x:c>
      <x:c r="N45" t="n">
        <x:f>IF(M45=1,IF(G45&lt;=F45,1,0),0)</x:f>
        <x:v>0</x:v>
      </x:c>
      <x:c r="O45" t="n">
        <x:f>IF(AND(M45=1,K45="Sí",G45&gt;F45),1,0)</x:f>
        <x:v>0</x:v>
      </x:c>
      <x:c r="P45" t="n">
        <x:f>IF(AND(M45=1,I45&gt;0),1,0)</x:f>
        <x:v>0</x:v>
      </x:c>
      <x:c r="Q45" t="n">
        <x:f>IF(AND(B45&gt;=DATE(2026,7,1),B45&lt;=DATE(2026,9,30),G45&gt;=DATE(2026,10,1),G45&lt;=DATE(2026,10,7)),1,0)</x:f>
        <x:v>0</x:v>
      </x:c>
      <x:c r="R45" t="n">
        <x:f>IF(AND(B45&gt;=DATE(2026,7,1),B45&lt;=DATE(2026,9,30),G45&gt;DATE(2026,10,7)),1,0)</x:f>
        <x:v>1</x:v>
      </x:c>
      <x:c r="S45" t="n">
        <x:f>IF(AND(M45=1,J45&lt;&gt;"Ninguna"),1,0)</x:f>
        <x:v>0</x:v>
      </x:c>
    </x:row>
    <x:row r="46">
      <x:c r="A46" t="str">
        <x:v>PED-0045</x:v>
      </x:c>
      <x:c r="B46" s="12" t="n">
        <x:v>46231</x:v>
      </x:c>
      <x:c r="C46" t="str">
        <x:v>MecaParts</x:v>
      </x:c>
      <x:c r="D46" t="str">
        <x:v>Componentes mecánicos</x:v>
      </x:c>
      <x:c r="E46" s="10" t="n">
        <x:v>772.28</x:v>
      </x:c>
      <x:c r="F46" s="12" t="n">
        <x:v>46242</x:v>
      </x:c>
      <x:c r="G46" s="12" t="n">
        <x:v>46245</x:v>
      </x:c>
      <x:c r="H46" t="n">
        <x:v>73</x:v>
      </x:c>
      <x:c r="I46" t="n">
        <x:v>0</x:v>
      </x:c>
      <x:c r="J46" t="str">
        <x:v>Ninguna</x:v>
      </x:c>
      <x:c r="K46" t="str">
        <x:v>No</x:v>
      </x:c>
      <x:c r="L46" t="str">
        <x:v>Barcelona</x:v>
      </x:c>
      <x:c r="M46" t="n">
        <x:f>IF(AND(B46&gt;=DATE(2026,7,1),B46&lt;=DATE(2026,9,30),G46&gt;=DATE(2026,7,1),G46&lt;=DATE(2026,9,30)),1,0)</x:f>
        <x:v>1</x:v>
      </x:c>
      <x:c r="N46" t="n">
        <x:f>IF(M46=1,IF(G46&lt;=F46,1,0),0)</x:f>
        <x:v>0</x:v>
      </x:c>
      <x:c r="O46" t="n">
        <x:f>IF(AND(M46=1,K46="Sí",G46&gt;F46),1,0)</x:f>
        <x:v>0</x:v>
      </x:c>
      <x:c r="P46" t="n">
        <x:f>IF(AND(M46=1,I46&gt;0),1,0)</x:f>
        <x:v>0</x:v>
      </x:c>
      <x:c r="Q46" t="n">
        <x:f>IF(AND(B46&gt;=DATE(2026,7,1),B46&lt;=DATE(2026,9,30),G46&gt;=DATE(2026,10,1),G46&lt;=DATE(2026,10,7)),1,0)</x:f>
        <x:v>0</x:v>
      </x:c>
      <x:c r="R46" t="n">
        <x:f>IF(AND(B46&gt;=DATE(2026,7,1),B46&lt;=DATE(2026,9,30),G46&gt;DATE(2026,10,7)),1,0)</x:f>
        <x:v>0</x:v>
      </x:c>
      <x:c r="S46" t="n">
        <x:f>IF(AND(M46=1,J46&lt;&gt;"Ninguna"),1,0)</x:f>
        <x:v>0</x:v>
      </x:c>
    </x:row>
    <x:row r="47">
      <x:c r="A47" t="str">
        <x:v>PED-0046</x:v>
      </x:c>
      <x:c r="B47" s="12" t="n">
        <x:v>46221</x:v>
      </x:c>
      <x:c r="C47" t="str">
        <x:v>ElectraSupply</x:v>
      </x:c>
      <x:c r="D47" t="str">
        <x:v>Componentes eléctricos</x:v>
      </x:c>
      <x:c r="E47" s="10" t="n">
        <x:v>4391.39</x:v>
      </x:c>
      <x:c r="F47" s="12" t="n">
        <x:v>46234</x:v>
      </x:c>
      <x:c r="G47" s="12" t="n">
        <x:v>46236</x:v>
      </x:c>
      <x:c r="H47" t="n">
        <x:v>250</x:v>
      </x:c>
      <x:c r="I47" t="n">
        <x:v>0</x:v>
      </x:c>
      <x:c r="J47" t="str">
        <x:v>Ninguna</x:v>
      </x:c>
      <x:c r="K47" t="str">
        <x:v>No</x:v>
      </x:c>
      <x:c r="L47" t="str">
        <x:v>Valencia</x:v>
      </x:c>
      <x:c r="M47" t="n">
        <x:f>IF(AND(B47&gt;=DATE(2026,7,1),B47&lt;=DATE(2026,9,30),G47&gt;=DATE(2026,7,1),G47&lt;=DATE(2026,9,30)),1,0)</x:f>
        <x:v>1</x:v>
      </x:c>
      <x:c r="N47" t="n">
        <x:f>IF(M47=1,IF(G47&lt;=F47,1,0),0)</x:f>
        <x:v>0</x:v>
      </x:c>
      <x:c r="O47" t="n">
        <x:f>IF(AND(M47=1,K47="Sí",G47&gt;F47),1,0)</x:f>
        <x:v>0</x:v>
      </x:c>
      <x:c r="P47" t="n">
        <x:f>IF(AND(M47=1,I47&gt;0),1,0)</x:f>
        <x:v>0</x:v>
      </x:c>
      <x:c r="Q47" t="n">
        <x:f>IF(AND(B47&gt;=DATE(2026,7,1),B47&lt;=DATE(2026,9,30),G47&gt;=DATE(2026,10,1),G47&lt;=DATE(2026,10,7)),1,0)</x:f>
        <x:v>0</x:v>
      </x:c>
      <x:c r="R47" t="n">
        <x:f>IF(AND(B47&gt;=DATE(2026,7,1),B47&lt;=DATE(2026,9,30),G47&gt;DATE(2026,10,7)),1,0)</x:f>
        <x:v>0</x:v>
      </x:c>
      <x:c r="S47" t="n">
        <x:f>IF(AND(M47=1,J47&lt;&gt;"Ninguna"),1,0)</x:f>
        <x:v>0</x:v>
      </x:c>
    </x:row>
    <x:row r="48">
      <x:c r="A48" t="str">
        <x:v>PED-0047</x:v>
      </x:c>
      <x:c r="B48" s="12" t="n">
        <x:v>46267</x:v>
      </x:c>
      <x:c r="C48" t="str">
        <x:v>MecaParts</x:v>
      </x:c>
      <x:c r="D48" t="str">
        <x:v>Componentes mecánicos</x:v>
      </x:c>
      <x:c r="E48" s="10" t="n">
        <x:v>9628.37</x:v>
      </x:c>
      <x:c r="F48" s="12" t="n">
        <x:v>46275</x:v>
      </x:c>
      <x:c r="G48" s="12" t="n">
        <x:v>46277</x:v>
      </x:c>
      <x:c r="H48" t="n">
        <x:v>385</x:v>
      </x:c>
      <x:c r="I48" t="n">
        <x:v>0</x:v>
      </x:c>
      <x:c r="J48" t="str">
        <x:v>Ninguna</x:v>
      </x:c>
      <x:c r="K48" t="str">
        <x:v>No</x:v>
      </x:c>
      <x:c r="L48" t="str">
        <x:v>Zaragoza</x:v>
      </x:c>
      <x:c r="M48" t="n">
        <x:f>IF(AND(B48&gt;=DATE(2026,7,1),B48&lt;=DATE(2026,9,30),G48&gt;=DATE(2026,7,1),G48&lt;=DATE(2026,9,30)),1,0)</x:f>
        <x:v>1</x:v>
      </x:c>
      <x:c r="N48" t="n">
        <x:f>IF(M48=1,IF(G48&lt;=F48,1,0),0)</x:f>
        <x:v>0</x:v>
      </x:c>
      <x:c r="O48" t="n">
        <x:f>IF(AND(M48=1,K48="Sí",G48&gt;F48),1,0)</x:f>
        <x:v>0</x:v>
      </x:c>
      <x:c r="P48" t="n">
        <x:f>IF(AND(M48=1,I48&gt;0),1,0)</x:f>
        <x:v>0</x:v>
      </x:c>
      <x:c r="Q48" t="n">
        <x:f>IF(AND(B48&gt;=DATE(2026,7,1),B48&lt;=DATE(2026,9,30),G48&gt;=DATE(2026,10,1),G48&lt;=DATE(2026,10,7)),1,0)</x:f>
        <x:v>0</x:v>
      </x:c>
      <x:c r="R48" t="n">
        <x:f>IF(AND(B48&gt;=DATE(2026,7,1),B48&lt;=DATE(2026,9,30),G48&gt;DATE(2026,10,7)),1,0)</x:f>
        <x:v>0</x:v>
      </x:c>
      <x:c r="S48" t="n">
        <x:f>IF(AND(M48=1,J48&lt;&gt;"Ninguna"),1,0)</x:f>
        <x:v>0</x:v>
      </x:c>
    </x:row>
    <x:row r="49">
      <x:c r="A49" t="str">
        <x:v>PED-0048</x:v>
      </x:c>
      <x:c r="B49" s="12" t="n">
        <x:v>46230</x:v>
      </x:c>
      <x:c r="C49" t="str">
        <x:v>MecaParts</x:v>
      </x:c>
      <x:c r="D49" t="str">
        <x:v>Componentes mecánicos</x:v>
      </x:c>
      <x:c r="E49" s="10" t="n">
        <x:v>10453.61</x:v>
      </x:c>
      <x:c r="F49" s="12" t="n">
        <x:v>46238</x:v>
      </x:c>
      <x:c r="G49" s="12" t="n">
        <x:v>46236</x:v>
      </x:c>
      <x:c r="H49" t="n">
        <x:v>221</x:v>
      </x:c>
      <x:c r="I49" t="n">
        <x:v>0</x:v>
      </x:c>
      <x:c r="J49" t="str">
        <x:v>Ninguna</x:v>
      </x:c>
      <x:c r="K49" t="str">
        <x:v>No</x:v>
      </x:c>
      <x:c r="L49" t="str">
        <x:v>Valencia</x:v>
      </x:c>
      <x:c r="M49" t="n">
        <x:f>IF(AND(B49&gt;=DATE(2026,7,1),B49&lt;=DATE(2026,9,30),G49&gt;=DATE(2026,7,1),G49&lt;=DATE(2026,9,30)),1,0)</x:f>
        <x:v>1</x:v>
      </x:c>
      <x:c r="N49" t="n">
        <x:f>IF(M49=1,IF(G49&lt;=F49,1,0),0)</x:f>
        <x:v>1</x:v>
      </x:c>
      <x:c r="O49" t="n">
        <x:f>IF(AND(M49=1,K49="Sí",G49&gt;F49),1,0)</x:f>
        <x:v>0</x:v>
      </x:c>
      <x:c r="P49" t="n">
        <x:f>IF(AND(M49=1,I49&gt;0),1,0)</x:f>
        <x:v>0</x:v>
      </x:c>
      <x:c r="Q49" t="n">
        <x:f>IF(AND(B49&gt;=DATE(2026,7,1),B49&lt;=DATE(2026,9,30),G49&gt;=DATE(2026,10,1),G49&lt;=DATE(2026,10,7)),1,0)</x:f>
        <x:v>0</x:v>
      </x:c>
      <x:c r="R49" t="n">
        <x:f>IF(AND(B49&gt;=DATE(2026,7,1),B49&lt;=DATE(2026,9,30),G49&gt;DATE(2026,10,7)),1,0)</x:f>
        <x:v>0</x:v>
      </x:c>
      <x:c r="S49" t="n">
        <x:f>IF(AND(M49=1,J49&lt;&gt;"Ninguna"),1,0)</x:f>
        <x:v>0</x:v>
      </x:c>
    </x:row>
    <x:row r="50">
      <x:c r="A50" t="str">
        <x:v>PED-0049</x:v>
      </x:c>
      <x:c r="B50" s="12" t="n">
        <x:v>46281</x:v>
      </x:c>
      <x:c r="C50" t="str">
        <x:v>MetalNova</x:v>
      </x:c>
      <x:c r="D50" t="str">
        <x:v>Materia prima</x:v>
      </x:c>
      <x:c r="E50" s="10" t="n">
        <x:v>426.91</x:v>
      </x:c>
      <x:c r="F50" s="12" t="n">
        <x:v>46291</x:v>
      </x:c>
      <x:c r="G50" s="12" t="n">
        <x:v>46292</x:v>
      </x:c>
      <x:c r="H50" t="n">
        <x:v>54</x:v>
      </x:c>
      <x:c r="I50" t="n">
        <x:v>0</x:v>
      </x:c>
      <x:c r="J50" t="str">
        <x:v>Ninguna</x:v>
      </x:c>
      <x:c r="K50" t="str">
        <x:v>No</x:v>
      </x:c>
      <x:c r="L50" t="str">
        <x:v>Zaragoza</x:v>
      </x:c>
      <x:c r="M50" t="n">
        <x:f>IF(AND(B50&gt;=DATE(2026,7,1),B50&lt;=DATE(2026,9,30),G50&gt;=DATE(2026,7,1),G50&lt;=DATE(2026,9,30)),1,0)</x:f>
        <x:v>1</x:v>
      </x:c>
      <x:c r="N50" t="n">
        <x:f>IF(M50=1,IF(G50&lt;=F50,1,0),0)</x:f>
        <x:v>0</x:v>
      </x:c>
      <x:c r="O50" t="n">
        <x:f>IF(AND(M50=1,K50="Sí",G50&gt;F50),1,0)</x:f>
        <x:v>0</x:v>
      </x:c>
      <x:c r="P50" t="n">
        <x:f>IF(AND(M50=1,I50&gt;0),1,0)</x:f>
        <x:v>0</x:v>
      </x:c>
      <x:c r="Q50" t="n">
        <x:f>IF(AND(B50&gt;=DATE(2026,7,1),B50&lt;=DATE(2026,9,30),G50&gt;=DATE(2026,10,1),G50&lt;=DATE(2026,10,7)),1,0)</x:f>
        <x:v>0</x:v>
      </x:c>
      <x:c r="R50" t="n">
        <x:f>IF(AND(B50&gt;=DATE(2026,7,1),B50&lt;=DATE(2026,9,30),G50&gt;DATE(2026,10,7)),1,0)</x:f>
        <x:v>0</x:v>
      </x:c>
      <x:c r="S50" t="n">
        <x:f>IF(AND(M50=1,J50&lt;&gt;"Ninguna"),1,0)</x:f>
        <x:v>0</x:v>
      </x:c>
    </x:row>
    <x:row r="51">
      <x:c r="A51" t="str">
        <x:v>PED-0050</x:v>
      </x:c>
      <x:c r="B51" s="12" t="n">
        <x:v>46271</x:v>
      </x:c>
      <x:c r="C51" t="str">
        <x:v>PackPro</x:v>
      </x:c>
      <x:c r="D51" t="str">
        <x:v>Embalaje</x:v>
      </x:c>
      <x:c r="E51" s="10" t="n">
        <x:v>670.44</x:v>
      </x:c>
      <x:c r="F51" s="12" t="n">
        <x:v>46277</x:v>
      </x:c>
      <x:c r="G51" s="12" t="n">
        <x:v>46285</x:v>
      </x:c>
      <x:c r="H51" t="n">
        <x:v>28</x:v>
      </x:c>
      <x:c r="I51" t="n">
        <x:v>0</x:v>
      </x:c>
      <x:c r="J51" t="str">
        <x:v>Retraso</x:v>
      </x:c>
      <x:c r="K51" t="str">
        <x:v>No</x:v>
      </x:c>
      <x:c r="L51" t="str">
        <x:v>Zaragoza</x:v>
      </x:c>
      <x:c r="M51" t="n">
        <x:f>IF(AND(B51&gt;=DATE(2026,7,1),B51&lt;=DATE(2026,9,30),G51&gt;=DATE(2026,7,1),G51&lt;=DATE(2026,9,30)),1,0)</x:f>
        <x:v>1</x:v>
      </x:c>
      <x:c r="N51" t="n">
        <x:f>IF(M51=1,IF(G51&lt;=F51,1,0),0)</x:f>
        <x:v>0</x:v>
      </x:c>
      <x:c r="O51" t="n">
        <x:f>IF(AND(M51=1,K51="Sí",G51&gt;F51),1,0)</x:f>
        <x:v>0</x:v>
      </x:c>
      <x:c r="P51" t="n">
        <x:f>IF(AND(M51=1,I51&gt;0),1,0)</x:f>
        <x:v>0</x:v>
      </x:c>
      <x:c r="Q51" t="n">
        <x:f>IF(AND(B51&gt;=DATE(2026,7,1),B51&lt;=DATE(2026,9,30),G51&gt;=DATE(2026,10,1),G51&lt;=DATE(2026,10,7)),1,0)</x:f>
        <x:v>0</x:v>
      </x:c>
      <x:c r="R51" t="n">
        <x:f>IF(AND(B51&gt;=DATE(2026,7,1),B51&lt;=DATE(2026,9,30),G51&gt;DATE(2026,10,7)),1,0)</x:f>
        <x:v>0</x:v>
      </x:c>
      <x:c r="S51" t="n">
        <x:f>IF(AND(M51=1,J51&lt;&gt;"Ninguna"),1,0)</x:f>
        <x:v>1</x:v>
      </x:c>
    </x:row>
    <x:row r="52">
      <x:c r="A52" t="str">
        <x:v>PED-0051</x:v>
      </x:c>
      <x:c r="B52" s="12" t="n">
        <x:v>46219</x:v>
      </x:c>
      <x:c r="C52" t="str">
        <x:v>PackPro</x:v>
      </x:c>
      <x:c r="D52" t="str">
        <x:v>Embalaje</x:v>
      </x:c>
      <x:c r="E52" s="10" t="n">
        <x:v>1517.49</x:v>
      </x:c>
      <x:c r="F52" s="12" t="n">
        <x:v>46225</x:v>
      </x:c>
      <x:c r="G52" s="12" t="n">
        <x:v>46230</x:v>
      </x:c>
      <x:c r="H52" t="n">
        <x:v>169</x:v>
      </x:c>
      <x:c r="I52" t="n">
        <x:v>0</x:v>
      </x:c>
      <x:c r="J52" t="str">
        <x:v>Retraso</x:v>
      </x:c>
      <x:c r="K52" t="str">
        <x:v>No</x:v>
      </x:c>
      <x:c r="L52" t="str">
        <x:v>Barcelona</x:v>
      </x:c>
      <x:c r="M52" t="n">
        <x:f>IF(AND(B52&gt;=DATE(2026,7,1),B52&lt;=DATE(2026,9,30),G52&gt;=DATE(2026,7,1),G52&lt;=DATE(2026,9,30)),1,0)</x:f>
        <x:v>1</x:v>
      </x:c>
      <x:c r="N52" t="n">
        <x:f>IF(M52=1,IF(G52&lt;=F52,1,0),0)</x:f>
        <x:v>0</x:v>
      </x:c>
      <x:c r="O52" t="n">
        <x:f>IF(AND(M52=1,K52="Sí",G52&gt;F52),1,0)</x:f>
        <x:v>0</x:v>
      </x:c>
      <x:c r="P52" t="n">
        <x:f>IF(AND(M52=1,I52&gt;0),1,0)</x:f>
        <x:v>0</x:v>
      </x:c>
      <x:c r="Q52" t="n">
        <x:f>IF(AND(B52&gt;=DATE(2026,7,1),B52&lt;=DATE(2026,9,30),G52&gt;=DATE(2026,10,1),G52&lt;=DATE(2026,10,7)),1,0)</x:f>
        <x:v>0</x:v>
      </x:c>
      <x:c r="R52" t="n">
        <x:f>IF(AND(B52&gt;=DATE(2026,7,1),B52&lt;=DATE(2026,9,30),G52&gt;DATE(2026,10,7)),1,0)</x:f>
        <x:v>0</x:v>
      </x:c>
      <x:c r="S52" t="n">
        <x:f>IF(AND(M52=1,J52&lt;&gt;"Ninguna"),1,0)</x:f>
        <x:v>1</x:v>
      </x:c>
    </x:row>
    <x:row r="53">
      <x:c r="A53" t="str">
        <x:v>PED-0052</x:v>
      </x:c>
      <x:c r="B53" s="12" t="n">
        <x:v>46213</x:v>
      </x:c>
      <x:c r="C53" t="str">
        <x:v>MecaParts</x:v>
      </x:c>
      <x:c r="D53" t="str">
        <x:v>Componentes mecánicos</x:v>
      </x:c>
      <x:c r="E53" s="10" t="n">
        <x:v>8410.4</x:v>
      </x:c>
      <x:c r="F53" s="12" t="n">
        <x:v>46221</x:v>
      </x:c>
      <x:c r="G53" s="12" t="n">
        <x:v>46224</x:v>
      </x:c>
      <x:c r="H53" t="n">
        <x:v>182</x:v>
      </x:c>
      <x:c r="I53" t="n">
        <x:v>0</x:v>
      </x:c>
      <x:c r="J53" t="str">
        <x:v>Ninguna</x:v>
      </x:c>
      <x:c r="K53" t="str">
        <x:v>No</x:v>
      </x:c>
      <x:c r="L53" t="str">
        <x:v>Barcelona</x:v>
      </x:c>
      <x:c r="M53" t="n">
        <x:f>IF(AND(B53&gt;=DATE(2026,7,1),B53&lt;=DATE(2026,9,30),G53&gt;=DATE(2026,7,1),G53&lt;=DATE(2026,9,30)),1,0)</x:f>
        <x:v>1</x:v>
      </x:c>
      <x:c r="N53" t="n">
        <x:f>IF(M53=1,IF(G53&lt;=F53,1,0),0)</x:f>
        <x:v>0</x:v>
      </x:c>
      <x:c r="O53" t="n">
        <x:f>IF(AND(M53=1,K53="Sí",G53&gt;F53),1,0)</x:f>
        <x:v>0</x:v>
      </x:c>
      <x:c r="P53" t="n">
        <x:f>IF(AND(M53=1,I53&gt;0),1,0)</x:f>
        <x:v>0</x:v>
      </x:c>
      <x:c r="Q53" t="n">
        <x:f>IF(AND(B53&gt;=DATE(2026,7,1),B53&lt;=DATE(2026,9,30),G53&gt;=DATE(2026,10,1),G53&lt;=DATE(2026,10,7)),1,0)</x:f>
        <x:v>0</x:v>
      </x:c>
      <x:c r="R53" t="n">
        <x:f>IF(AND(B53&gt;=DATE(2026,7,1),B53&lt;=DATE(2026,9,30),G53&gt;DATE(2026,10,7)),1,0)</x:f>
        <x:v>0</x:v>
      </x:c>
      <x:c r="S53" t="n">
        <x:f>IF(AND(M53=1,J53&lt;&gt;"Ninguna"),1,0)</x:f>
        <x:v>0</x:v>
      </x:c>
    </x:row>
    <x:row r="54">
      <x:c r="A54" t="str">
        <x:v>PED-0053</x:v>
      </x:c>
      <x:c r="B54" s="12" t="n">
        <x:v>46249</x:v>
      </x:c>
      <x:c r="C54" t="str">
        <x:v>PackPro</x:v>
      </x:c>
      <x:c r="D54" t="str">
        <x:v>Embalaje</x:v>
      </x:c>
      <x:c r="E54" s="10" t="n">
        <x:v>815.78</x:v>
      </x:c>
      <x:c r="F54" s="12" t="n">
        <x:v>46254</x:v>
      </x:c>
      <x:c r="G54" s="12" t="n">
        <x:v>46260</x:v>
      </x:c>
      <x:c r="H54" t="n">
        <x:v>29</x:v>
      </x:c>
      <x:c r="I54" t="n">
        <x:v>0</x:v>
      </x:c>
      <x:c r="J54" t="str">
        <x:v>Ninguna</x:v>
      </x:c>
      <x:c r="K54" t="str">
        <x:v>No</x:v>
      </x:c>
      <x:c r="L54" t="str">
        <x:v>Valencia</x:v>
      </x:c>
      <x:c r="M54" t="n">
        <x:f>IF(AND(B54&gt;=DATE(2026,7,1),B54&lt;=DATE(2026,9,30),G54&gt;=DATE(2026,7,1),G54&lt;=DATE(2026,9,30)),1,0)</x:f>
        <x:v>1</x:v>
      </x:c>
      <x:c r="N54" t="n">
        <x:f>IF(M54=1,IF(G54&lt;=F54,1,0),0)</x:f>
        <x:v>0</x:v>
      </x:c>
      <x:c r="O54" t="n">
        <x:f>IF(AND(M54=1,K54="Sí",G54&gt;F54),1,0)</x:f>
        <x:v>0</x:v>
      </x:c>
      <x:c r="P54" t="n">
        <x:f>IF(AND(M54=1,I54&gt;0),1,0)</x:f>
        <x:v>0</x:v>
      </x:c>
      <x:c r="Q54" t="n">
        <x:f>IF(AND(B54&gt;=DATE(2026,7,1),B54&lt;=DATE(2026,9,30),G54&gt;=DATE(2026,10,1),G54&lt;=DATE(2026,10,7)),1,0)</x:f>
        <x:v>0</x:v>
      </x:c>
      <x:c r="R54" t="n">
        <x:f>IF(AND(B54&gt;=DATE(2026,7,1),B54&lt;=DATE(2026,9,30),G54&gt;DATE(2026,10,7)),1,0)</x:f>
        <x:v>0</x:v>
      </x:c>
      <x:c r="S54" t="n">
        <x:f>IF(AND(M54=1,J54&lt;&gt;"Ninguna"),1,0)</x:f>
        <x:v>0</x:v>
      </x:c>
    </x:row>
    <x:row r="55">
      <x:c r="A55" t="str">
        <x:v>PED-0054</x:v>
      </x:c>
      <x:c r="B55" s="12" t="n">
        <x:v>46289</x:v>
      </x:c>
      <x:c r="C55" t="str">
        <x:v>MecaParts</x:v>
      </x:c>
      <x:c r="D55" t="str">
        <x:v>Componentes mecánicos</x:v>
      </x:c>
      <x:c r="E55" s="10" t="n">
        <x:v>6974.82</x:v>
      </x:c>
      <x:c r="F55" s="12" t="n">
        <x:v>46297</x:v>
      </x:c>
      <x:c r="G55" s="12" t="n">
        <x:v>46299</x:v>
      </x:c>
      <x:c r="H55" t="n">
        <x:v>311</x:v>
      </x:c>
      <x:c r="I55" t="n">
        <x:v>40</x:v>
      </x:c>
      <x:c r="J55" t="str">
        <x:v>Calidad</x:v>
      </x:c>
      <x:c r="K55" t="str">
        <x:v>No</x:v>
      </x:c>
      <x:c r="L55" t="str">
        <x:v>Valencia</x:v>
      </x:c>
      <x:c r="M55" t="n">
        <x:f>IF(AND(B55&gt;=DATE(2026,7,1),B55&lt;=DATE(2026,9,30),G55&gt;=DATE(2026,7,1),G55&lt;=DATE(2026,9,30)),1,0)</x:f>
        <x:v>0</x:v>
      </x:c>
      <x:c r="N55" t="n">
        <x:f>IF(M55=1,IF(G55&lt;=F55,1,0),0)</x:f>
        <x:v>0</x:v>
      </x:c>
      <x:c r="O55" t="n">
        <x:f>IF(AND(M55=1,K55="Sí",G55&gt;F55),1,0)</x:f>
        <x:v>0</x:v>
      </x:c>
      <x:c r="P55" t="n">
        <x:f>IF(AND(M55=1,I55&gt;0),1,0)</x:f>
        <x:v>0</x:v>
      </x:c>
      <x:c r="Q55" t="n">
        <x:f>IF(AND(B55&gt;=DATE(2026,7,1),B55&lt;=DATE(2026,9,30),G55&gt;=DATE(2026,10,1),G55&lt;=DATE(2026,10,7)),1,0)</x:f>
        <x:v>1</x:v>
      </x:c>
      <x:c r="R55" t="n">
        <x:f>IF(AND(B55&gt;=DATE(2026,7,1),B55&lt;=DATE(2026,9,30),G55&gt;DATE(2026,10,7)),1,0)</x:f>
        <x:v>0</x:v>
      </x:c>
      <x:c r="S55" t="n">
        <x:f>IF(AND(M55=1,J55&lt;&gt;"Ninguna"),1,0)</x:f>
        <x:v>0</x:v>
      </x:c>
    </x:row>
    <x:row r="56">
      <x:c r="A56" t="str">
        <x:v>PED-0055</x:v>
      </x:c>
      <x:c r="B56" s="12" t="n">
        <x:v>46278</x:v>
      </x:c>
      <x:c r="C56" t="str">
        <x:v>OfiPlus</x:v>
      </x:c>
      <x:c r="D56" t="str">
        <x:v>Consumibles</x:v>
      </x:c>
      <x:c r="E56" s="10" t="n">
        <x:v>12066.11</x:v>
      </x:c>
      <x:c r="F56" s="12" t="n">
        <x:v>46282</x:v>
      </x:c>
      <x:c r="G56" s="12" t="n">
        <x:v>46287</x:v>
      </x:c>
      <x:c r="H56" t="n">
        <x:v>240</x:v>
      </x:c>
      <x:c r="I56" t="n">
        <x:v>0</x:v>
      </x:c>
      <x:c r="J56" t="str">
        <x:v>Ninguna</x:v>
      </x:c>
      <x:c r="K56" t="str">
        <x:v>No</x:v>
      </x:c>
      <x:c r="L56" t="str">
        <x:v>Zaragoza</x:v>
      </x:c>
      <x:c r="M56" t="n">
        <x:f>IF(AND(B56&gt;=DATE(2026,7,1),B56&lt;=DATE(2026,9,30),G56&gt;=DATE(2026,7,1),G56&lt;=DATE(2026,9,30)),1,0)</x:f>
        <x:v>1</x:v>
      </x:c>
      <x:c r="N56" t="n">
        <x:f>IF(M56=1,IF(G56&lt;=F56,1,0),0)</x:f>
        <x:v>0</x:v>
      </x:c>
      <x:c r="O56" t="n">
        <x:f>IF(AND(M56=1,K56="Sí",G56&gt;F56),1,0)</x:f>
        <x:v>0</x:v>
      </x:c>
      <x:c r="P56" t="n">
        <x:f>IF(AND(M56=1,I56&gt;0),1,0)</x:f>
        <x:v>0</x:v>
      </x:c>
      <x:c r="Q56" t="n">
        <x:f>IF(AND(B56&gt;=DATE(2026,7,1),B56&lt;=DATE(2026,9,30),G56&gt;=DATE(2026,10,1),G56&lt;=DATE(2026,10,7)),1,0)</x:f>
        <x:v>0</x:v>
      </x:c>
      <x:c r="R56" t="n">
        <x:f>IF(AND(B56&gt;=DATE(2026,7,1),B56&lt;=DATE(2026,9,30),G56&gt;DATE(2026,10,7)),1,0)</x:f>
        <x:v>0</x:v>
      </x:c>
      <x:c r="S56" t="n">
        <x:f>IF(AND(M56=1,J56&lt;&gt;"Ninguna"),1,0)</x:f>
        <x:v>0</x:v>
      </x:c>
    </x:row>
    <x:row r="57">
      <x:c r="A57" t="str">
        <x:v>PED-0056</x:v>
      </x:c>
      <x:c r="B57" s="12" t="n">
        <x:v>46214</x:v>
      </x:c>
      <x:c r="C57" t="str">
        <x:v>PackPro</x:v>
      </x:c>
      <x:c r="D57" t="str">
        <x:v>Embalaje</x:v>
      </x:c>
      <x:c r="E57" s="10" t="n">
        <x:v>11447.2</x:v>
      </x:c>
      <x:c r="F57" s="12" t="n">
        <x:v>46219</x:v>
      </x:c>
      <x:c r="G57" s="12" t="n">
        <x:v>46220</x:v>
      </x:c>
      <x:c r="H57" t="n">
        <x:v>292</x:v>
      </x:c>
      <x:c r="I57" t="n">
        <x:v>0</x:v>
      </x:c>
      <x:c r="J57" t="str">
        <x:v>Daño transporte</x:v>
      </x:c>
      <x:c r="K57" t="str">
        <x:v>No</x:v>
      </x:c>
      <x:c r="L57" t="str">
        <x:v>Valencia</x:v>
      </x:c>
      <x:c r="M57" t="n">
        <x:f>IF(AND(B57&gt;=DATE(2026,7,1),B57&lt;=DATE(2026,9,30),G57&gt;=DATE(2026,7,1),G57&lt;=DATE(2026,9,30)),1,0)</x:f>
        <x:v>1</x:v>
      </x:c>
      <x:c r="N57" t="n">
        <x:f>IF(M57=1,IF(G57&lt;=F57,1,0),0)</x:f>
        <x:v>0</x:v>
      </x:c>
      <x:c r="O57" t="n">
        <x:f>IF(AND(M57=1,K57="Sí",G57&gt;F57),1,0)</x:f>
        <x:v>0</x:v>
      </x:c>
      <x:c r="P57" t="n">
        <x:f>IF(AND(M57=1,I57&gt;0),1,0)</x:f>
        <x:v>0</x:v>
      </x:c>
      <x:c r="Q57" t="n">
        <x:f>IF(AND(B57&gt;=DATE(2026,7,1),B57&lt;=DATE(2026,9,30),G57&gt;=DATE(2026,10,1),G57&lt;=DATE(2026,10,7)),1,0)</x:f>
        <x:v>0</x:v>
      </x:c>
      <x:c r="R57" t="n">
        <x:f>IF(AND(B57&gt;=DATE(2026,7,1),B57&lt;=DATE(2026,9,30),G57&gt;DATE(2026,10,7)),1,0)</x:f>
        <x:v>0</x:v>
      </x:c>
      <x:c r="S57" t="n">
        <x:f>IF(AND(M57=1,J57&lt;&gt;"Ninguna"),1,0)</x:f>
        <x:v>1</x:v>
      </x:c>
    </x:row>
    <x:row r="58">
      <x:c r="A58" t="str">
        <x:v>PED-0057</x:v>
      </x:c>
      <x:c r="B58" s="12" t="n">
        <x:v>46235</x:v>
      </x:c>
      <x:c r="C58" t="str">
        <x:v>MecaParts</x:v>
      </x:c>
      <x:c r="D58" t="str">
        <x:v>Componentes mecánicos</x:v>
      </x:c>
      <x:c r="E58" s="10" t="n">
        <x:v>4590.45</x:v>
      </x:c>
      <x:c r="F58" s="12" t="n">
        <x:v>46246</x:v>
      </x:c>
      <x:c r="G58" s="12" t="n">
        <x:v>46244</x:v>
      </x:c>
      <x:c r="H58" t="n">
        <x:v>195</x:v>
      </x:c>
      <x:c r="I58" t="n">
        <x:v>30</x:v>
      </x:c>
      <x:c r="J58" t="str">
        <x:v>Calidad</x:v>
      </x:c>
      <x:c r="K58" t="str">
        <x:v>No</x:v>
      </x:c>
      <x:c r="L58" t="str">
        <x:v>Valencia</x:v>
      </x:c>
      <x:c r="M58" t="n">
        <x:f>IF(AND(B58&gt;=DATE(2026,7,1),B58&lt;=DATE(2026,9,30),G58&gt;=DATE(2026,7,1),G58&lt;=DATE(2026,9,30)),1,0)</x:f>
        <x:v>1</x:v>
      </x:c>
      <x:c r="N58" t="n">
        <x:f>IF(M58=1,IF(G58&lt;=F58,1,0),0)</x:f>
        <x:v>1</x:v>
      </x:c>
      <x:c r="O58" t="n">
        <x:f>IF(AND(M58=1,K58="Sí",G58&gt;F58),1,0)</x:f>
        <x:v>0</x:v>
      </x:c>
      <x:c r="P58" t="n">
        <x:f>IF(AND(M58=1,I58&gt;0),1,0)</x:f>
        <x:v>1</x:v>
      </x:c>
      <x:c r="Q58" t="n">
        <x:f>IF(AND(B58&gt;=DATE(2026,7,1),B58&lt;=DATE(2026,9,30),G58&gt;=DATE(2026,10,1),G58&lt;=DATE(2026,10,7)),1,0)</x:f>
        <x:v>0</x:v>
      </x:c>
      <x:c r="R58" t="n">
        <x:f>IF(AND(B58&gt;=DATE(2026,7,1),B58&lt;=DATE(2026,9,30),G58&gt;DATE(2026,10,7)),1,0)</x:f>
        <x:v>0</x:v>
      </x:c>
      <x:c r="S58" t="n">
        <x:f>IF(AND(M58=1,J58&lt;&gt;"Ninguna"),1,0)</x:f>
        <x:v>1</x:v>
      </x:c>
    </x:row>
    <x:row r="59">
      <x:c r="A59" t="str">
        <x:v>PED-0058</x:v>
      </x:c>
      <x:c r="B59" s="12" t="n">
        <x:v>46291</x:v>
      </x:c>
      <x:c r="C59" t="str">
        <x:v>ElectraSupply</x:v>
      </x:c>
      <x:c r="D59" t="str">
        <x:v>Componentes eléctricos</x:v>
      </x:c>
      <x:c r="E59" s="10" t="n">
        <x:v>791.13</x:v>
      </x:c>
      <x:c r="F59" s="12" t="n">
        <x:v>46305</x:v>
      </x:c>
      <x:c r="G59" s="12" t="n">
        <x:v>46311</x:v>
      </x:c>
      <x:c r="H59" t="n">
        <x:v>24</x:v>
      </x:c>
      <x:c r="I59" t="n">
        <x:v>0</x:v>
      </x:c>
      <x:c r="J59" t="str">
        <x:v>Ninguna</x:v>
      </x:c>
      <x:c r="K59" t="str">
        <x:v>No</x:v>
      </x:c>
      <x:c r="L59" t="str">
        <x:v>Barcelona</x:v>
      </x:c>
      <x:c r="M59" t="n">
        <x:f>IF(AND(B59&gt;=DATE(2026,7,1),B59&lt;=DATE(2026,9,30),G59&gt;=DATE(2026,7,1),G59&lt;=DATE(2026,9,30)),1,0)</x:f>
        <x:v>0</x:v>
      </x:c>
      <x:c r="N59" t="n">
        <x:f>IF(M59=1,IF(G59&lt;=F59,1,0),0)</x:f>
        <x:v>0</x:v>
      </x:c>
      <x:c r="O59" t="n">
        <x:f>IF(AND(M59=1,K59="Sí",G59&gt;F59),1,0)</x:f>
        <x:v>0</x:v>
      </x:c>
      <x:c r="P59" t="n">
        <x:f>IF(AND(M59=1,I59&gt;0),1,0)</x:f>
        <x:v>0</x:v>
      </x:c>
      <x:c r="Q59" t="n">
        <x:f>IF(AND(B59&gt;=DATE(2026,7,1),B59&lt;=DATE(2026,9,30),G59&gt;=DATE(2026,10,1),G59&lt;=DATE(2026,10,7)),1,0)</x:f>
        <x:v>0</x:v>
      </x:c>
      <x:c r="R59" t="n">
        <x:f>IF(AND(B59&gt;=DATE(2026,7,1),B59&lt;=DATE(2026,9,30),G59&gt;DATE(2026,10,7)),1,0)</x:f>
        <x:v>1</x:v>
      </x:c>
      <x:c r="S59" t="n">
        <x:f>IF(AND(M59=1,J59&lt;&gt;"Ninguna"),1,0)</x:f>
        <x:v>0</x:v>
      </x:c>
    </x:row>
    <x:row r="60">
      <x:c r="A60" t="str">
        <x:v>PED-0059</x:v>
      </x:c>
      <x:c r="B60" s="12" t="n">
        <x:v>46241</x:v>
      </x:c>
      <x:c r="C60" t="str">
        <x:v>MetalNova</x:v>
      </x:c>
      <x:c r="D60" t="str">
        <x:v>Materia prima</x:v>
      </x:c>
      <x:c r="E60" s="10" t="n">
        <x:v>1187.9</x:v>
      </x:c>
      <x:c r="F60" s="12" t="n">
        <x:v>46251</x:v>
      </x:c>
      <x:c r="G60" s="12" t="n">
        <x:v>46251</x:v>
      </x:c>
      <x:c r="H60" t="n">
        <x:v>111</x:v>
      </x:c>
      <x:c r="I60" t="n">
        <x:v>0</x:v>
      </x:c>
      <x:c r="J60" t="str">
        <x:v>Ninguna</x:v>
      </x:c>
      <x:c r="K60" t="str">
        <x:v>No</x:v>
      </x:c>
      <x:c r="L60" t="str">
        <x:v>Zaragoza</x:v>
      </x:c>
      <x:c r="M60" t="n">
        <x:f>IF(AND(B60&gt;=DATE(2026,7,1),B60&lt;=DATE(2026,9,30),G60&gt;=DATE(2026,7,1),G60&lt;=DATE(2026,9,30)),1,0)</x:f>
        <x:v>1</x:v>
      </x:c>
      <x:c r="N60" t="n">
        <x:f>IF(M60=1,IF(G60&lt;=F60,1,0),0)</x:f>
        <x:v>1</x:v>
      </x:c>
      <x:c r="O60" t="n">
        <x:f>IF(AND(M60=1,K60="Sí",G60&gt;F60),1,0)</x:f>
        <x:v>0</x:v>
      </x:c>
      <x:c r="P60" t="n">
        <x:f>IF(AND(M60=1,I60&gt;0),1,0)</x:f>
        <x:v>0</x:v>
      </x:c>
      <x:c r="Q60" t="n">
        <x:f>IF(AND(B60&gt;=DATE(2026,7,1),B60&lt;=DATE(2026,9,30),G60&gt;=DATE(2026,10,1),G60&lt;=DATE(2026,10,7)),1,0)</x:f>
        <x:v>0</x:v>
      </x:c>
      <x:c r="R60" t="n">
        <x:f>IF(AND(B60&gt;=DATE(2026,7,1),B60&lt;=DATE(2026,9,30),G60&gt;DATE(2026,10,7)),1,0)</x:f>
        <x:v>0</x:v>
      </x:c>
      <x:c r="S60" t="n">
        <x:f>IF(AND(M60=1,J60&lt;&gt;"Ninguna"),1,0)</x:f>
        <x:v>0</x:v>
      </x:c>
    </x:row>
    <x:row r="61">
      <x:c r="A61" t="str">
        <x:v>PED-0060</x:v>
      </x:c>
      <x:c r="B61" s="12" t="n">
        <x:v>46224</x:v>
      </x:c>
      <x:c r="C61" t="str">
        <x:v>ElectraSupply</x:v>
      </x:c>
      <x:c r="D61" t="str">
        <x:v>Componentes eléctricos</x:v>
      </x:c>
      <x:c r="E61" s="10" t="n">
        <x:v>9189.03</x:v>
      </x:c>
      <x:c r="F61" s="12" t="n">
        <x:v>46238</x:v>
      </x:c>
      <x:c r="G61" s="12" t="n">
        <x:v>46243</x:v>
      </x:c>
      <x:c r="H61" t="n">
        <x:v>214</x:v>
      </x:c>
      <x:c r="I61" t="n">
        <x:v>0</x:v>
      </x:c>
      <x:c r="J61" t="str">
        <x:v>Ninguna</x:v>
      </x:c>
      <x:c r="K61" t="str">
        <x:v>No</x:v>
      </x:c>
      <x:c r="L61" t="str">
        <x:v>Valencia</x:v>
      </x:c>
      <x:c r="M61" t="n">
        <x:f>IF(AND(B61&gt;=DATE(2026,7,1),B61&lt;=DATE(2026,9,30),G61&gt;=DATE(2026,7,1),G61&lt;=DATE(2026,9,30)),1,0)</x:f>
        <x:v>1</x:v>
      </x:c>
      <x:c r="N61" t="n">
        <x:f>IF(M61=1,IF(G61&lt;=F61,1,0),0)</x:f>
        <x:v>0</x:v>
      </x:c>
      <x:c r="O61" t="n">
        <x:f>IF(AND(M61=1,K61="Sí",G61&gt;F61),1,0)</x:f>
        <x:v>0</x:v>
      </x:c>
      <x:c r="P61" t="n">
        <x:f>IF(AND(M61=1,I61&gt;0),1,0)</x:f>
        <x:v>0</x:v>
      </x:c>
      <x:c r="Q61" t="n">
        <x:f>IF(AND(B61&gt;=DATE(2026,7,1),B61&lt;=DATE(2026,9,30),G61&gt;=DATE(2026,10,1),G61&lt;=DATE(2026,10,7)),1,0)</x:f>
        <x:v>0</x:v>
      </x:c>
      <x:c r="R61" t="n">
        <x:f>IF(AND(B61&gt;=DATE(2026,7,1),B61&lt;=DATE(2026,9,30),G61&gt;DATE(2026,10,7)),1,0)</x:f>
        <x:v>0</x:v>
      </x:c>
      <x:c r="S61" t="n">
        <x:f>IF(AND(M61=1,J61&lt;&gt;"Ninguna"),1,0)</x:f>
        <x:v>0</x:v>
      </x:c>
    </x:row>
    <x:row r="62">
      <x:c r="A62" t="str">
        <x:v>PED-0061</x:v>
      </x:c>
      <x:c r="B62" s="12" t="n">
        <x:v>46221</x:v>
      </x:c>
      <x:c r="C62" t="str">
        <x:v>ElectraSupply</x:v>
      </x:c>
      <x:c r="D62" t="str">
        <x:v>Componentes eléctricos</x:v>
      </x:c>
      <x:c r="E62" s="10" t="n">
        <x:v>2308.52</x:v>
      </x:c>
      <x:c r="F62" s="12" t="n">
        <x:v>46233</x:v>
      </x:c>
      <x:c r="G62" s="12" t="n">
        <x:v>46233</x:v>
      </x:c>
      <x:c r="H62" t="n">
        <x:v>225</x:v>
      </x:c>
      <x:c r="I62" t="n">
        <x:v>0</x:v>
      </x:c>
      <x:c r="J62" t="str">
        <x:v>Ninguna</x:v>
      </x:c>
      <x:c r="K62" t="str">
        <x:v>No</x:v>
      </x:c>
      <x:c r="L62" t="str">
        <x:v>Barcelona</x:v>
      </x:c>
      <x:c r="M62" t="n">
        <x:f>IF(AND(B62&gt;=DATE(2026,7,1),B62&lt;=DATE(2026,9,30),G62&gt;=DATE(2026,7,1),G62&lt;=DATE(2026,9,30)),1,0)</x:f>
        <x:v>1</x:v>
      </x:c>
      <x:c r="N62" t="n">
        <x:f>IF(M62=1,IF(G62&lt;=F62,1,0),0)</x:f>
        <x:v>1</x:v>
      </x:c>
      <x:c r="O62" t="n">
        <x:f>IF(AND(M62=1,K62="Sí",G62&gt;F62),1,0)</x:f>
        <x:v>0</x:v>
      </x:c>
      <x:c r="P62" t="n">
        <x:f>IF(AND(M62=1,I62&gt;0),1,0)</x:f>
        <x:v>0</x:v>
      </x:c>
      <x:c r="Q62" t="n">
        <x:f>IF(AND(B62&gt;=DATE(2026,7,1),B62&lt;=DATE(2026,9,30),G62&gt;=DATE(2026,10,1),G62&lt;=DATE(2026,10,7)),1,0)</x:f>
        <x:v>0</x:v>
      </x:c>
      <x:c r="R62" t="n">
        <x:f>IF(AND(B62&gt;=DATE(2026,7,1),B62&lt;=DATE(2026,9,30),G62&gt;DATE(2026,10,7)),1,0)</x:f>
        <x:v>0</x:v>
      </x:c>
      <x:c r="S62" t="n">
        <x:f>IF(AND(M62=1,J62&lt;&gt;"Ninguna"),1,0)</x:f>
        <x:v>0</x:v>
      </x:c>
    </x:row>
    <x:row r="63">
      <x:c r="A63" t="str">
        <x:v>PED-0062</x:v>
      </x:c>
      <x:c r="B63" s="12" t="n">
        <x:v>46285</x:v>
      </x:c>
      <x:c r="C63" t="str">
        <x:v>OfiPlus</x:v>
      </x:c>
      <x:c r="D63" t="str">
        <x:v>Consumibles</x:v>
      </x:c>
      <x:c r="E63" s="10" t="n">
        <x:v>2425.62</x:v>
      </x:c>
      <x:c r="F63" s="12" t="n">
        <x:v>46289</x:v>
      </x:c>
      <x:c r="G63" s="12" t="n">
        <x:v>46287</x:v>
      </x:c>
      <x:c r="H63" t="n">
        <x:v>348</x:v>
      </x:c>
      <x:c r="I63" t="n">
        <x:v>0</x:v>
      </x:c>
      <x:c r="J63" t="str">
        <x:v>Ninguna</x:v>
      </x:c>
      <x:c r="K63" t="str">
        <x:v>No</x:v>
      </x:c>
      <x:c r="L63" t="str">
        <x:v>Valencia</x:v>
      </x:c>
      <x:c r="M63" t="n">
        <x:f>IF(AND(B63&gt;=DATE(2026,7,1),B63&lt;=DATE(2026,9,30),G63&gt;=DATE(2026,7,1),G63&lt;=DATE(2026,9,30)),1,0)</x:f>
        <x:v>1</x:v>
      </x:c>
      <x:c r="N63" t="n">
        <x:f>IF(M63=1,IF(G63&lt;=F63,1,0),0)</x:f>
        <x:v>1</x:v>
      </x:c>
      <x:c r="O63" t="n">
        <x:f>IF(AND(M63=1,K63="Sí",G63&gt;F63),1,0)</x:f>
        <x:v>0</x:v>
      </x:c>
      <x:c r="P63" t="n">
        <x:f>IF(AND(M63=1,I63&gt;0),1,0)</x:f>
        <x:v>0</x:v>
      </x:c>
      <x:c r="Q63" t="n">
        <x:f>IF(AND(B63&gt;=DATE(2026,7,1),B63&lt;=DATE(2026,9,30),G63&gt;=DATE(2026,10,1),G63&lt;=DATE(2026,10,7)),1,0)</x:f>
        <x:v>0</x:v>
      </x:c>
      <x:c r="R63" t="n">
        <x:f>IF(AND(B63&gt;=DATE(2026,7,1),B63&lt;=DATE(2026,9,30),G63&gt;DATE(2026,10,7)),1,0)</x:f>
        <x:v>0</x:v>
      </x:c>
      <x:c r="S63" t="n">
        <x:f>IF(AND(M63=1,J63&lt;&gt;"Ninguna"),1,0)</x:f>
        <x:v>0</x:v>
      </x:c>
    </x:row>
    <x:row r="64">
      <x:c r="A64" t="str">
        <x:v>PED-0063</x:v>
      </x:c>
      <x:c r="B64" s="12" t="n">
        <x:v>46264</x:v>
      </x:c>
      <x:c r="C64" t="str">
        <x:v>OfiPlus</x:v>
      </x:c>
      <x:c r="D64" t="str">
        <x:v>Consumibles</x:v>
      </x:c>
      <x:c r="E64" s="10" t="n">
        <x:v>4618.92</x:v>
      </x:c>
      <x:c r="F64" s="12" t="n">
        <x:v>46270</x:v>
      </x:c>
      <x:c r="G64" s="12" t="n">
        <x:v>46270</x:v>
      </x:c>
      <x:c r="H64" t="n">
        <x:v>264</x:v>
      </x:c>
      <x:c r="I64" t="n">
        <x:v>0</x:v>
      </x:c>
      <x:c r="J64" t="str">
        <x:v>Ninguna</x:v>
      </x:c>
      <x:c r="K64" t="str">
        <x:v>Sí</x:v>
      </x:c>
      <x:c r="L64" t="str">
        <x:v>Valencia</x:v>
      </x:c>
      <x:c r="M64" t="n">
        <x:f>IF(AND(B64&gt;=DATE(2026,7,1),B64&lt;=DATE(2026,9,30),G64&gt;=DATE(2026,7,1),G64&lt;=DATE(2026,9,30)),1,0)</x:f>
        <x:v>1</x:v>
      </x:c>
      <x:c r="N64" t="n">
        <x:f>IF(M64=1,IF(G64&lt;=F64,1,0),0)</x:f>
        <x:v>1</x:v>
      </x:c>
      <x:c r="O64" t="n">
        <x:f>IF(AND(M64=1,K64="Sí",G64&gt;F64),1,0)</x:f>
        <x:v>0</x:v>
      </x:c>
      <x:c r="P64" t="n">
        <x:f>IF(AND(M64=1,I64&gt;0),1,0)</x:f>
        <x:v>0</x:v>
      </x:c>
      <x:c r="Q64" t="n">
        <x:f>IF(AND(B64&gt;=DATE(2026,7,1),B64&lt;=DATE(2026,9,30),G64&gt;=DATE(2026,10,1),G64&lt;=DATE(2026,10,7)),1,0)</x:f>
        <x:v>0</x:v>
      </x:c>
      <x:c r="R64" t="n">
        <x:f>IF(AND(B64&gt;=DATE(2026,7,1),B64&lt;=DATE(2026,9,30),G64&gt;DATE(2026,10,7)),1,0)</x:f>
        <x:v>0</x:v>
      </x:c>
      <x:c r="S64" t="n">
        <x:f>IF(AND(M64=1,J64&lt;&gt;"Ninguna"),1,0)</x:f>
        <x:v>0</x:v>
      </x:c>
    </x:row>
    <x:row r="65">
      <x:c r="A65" t="str">
        <x:v>PED-0064</x:v>
      </x:c>
      <x:c r="B65" s="12" t="n">
        <x:v>46265</x:v>
      </x:c>
      <x:c r="C65" t="str">
        <x:v>ElectraSupply</x:v>
      </x:c>
      <x:c r="D65" t="str">
        <x:v>Componentes eléctricos</x:v>
      </x:c>
      <x:c r="E65" s="10" t="n">
        <x:v>2587.52</x:v>
      </x:c>
      <x:c r="F65" s="12" t="n">
        <x:v>46276</x:v>
      </x:c>
      <x:c r="G65" s="12" t="n">
        <x:v>46280</x:v>
      </x:c>
      <x:c r="H65" t="n">
        <x:v>67</x:v>
      </x:c>
      <x:c r="I65" t="n">
        <x:v>0</x:v>
      </x:c>
      <x:c r="J65" t="str">
        <x:v>Ninguna</x:v>
      </x:c>
      <x:c r="K65" t="str">
        <x:v>No</x:v>
      </x:c>
      <x:c r="L65" t="str">
        <x:v>Valencia</x:v>
      </x:c>
      <x:c r="M65" t="n">
        <x:f>IF(AND(B65&gt;=DATE(2026,7,1),B65&lt;=DATE(2026,9,30),G65&gt;=DATE(2026,7,1),G65&lt;=DATE(2026,9,30)),1,0)</x:f>
        <x:v>1</x:v>
      </x:c>
      <x:c r="N65" t="n">
        <x:f>IF(M65=1,IF(G65&lt;=F65,1,0),0)</x:f>
        <x:v>0</x:v>
      </x:c>
      <x:c r="O65" t="n">
        <x:f>IF(AND(M65=1,K65="Sí",G65&gt;F65),1,0)</x:f>
        <x:v>0</x:v>
      </x:c>
      <x:c r="P65" t="n">
        <x:f>IF(AND(M65=1,I65&gt;0),1,0)</x:f>
        <x:v>0</x:v>
      </x:c>
      <x:c r="Q65" t="n">
        <x:f>IF(AND(B65&gt;=DATE(2026,7,1),B65&lt;=DATE(2026,9,30),G65&gt;=DATE(2026,10,1),G65&lt;=DATE(2026,10,7)),1,0)</x:f>
        <x:v>0</x:v>
      </x:c>
      <x:c r="R65" t="n">
        <x:f>IF(AND(B65&gt;=DATE(2026,7,1),B65&lt;=DATE(2026,9,30),G65&gt;DATE(2026,10,7)),1,0)</x:f>
        <x:v>0</x:v>
      </x:c>
      <x:c r="S65" t="n">
        <x:f>IF(AND(M65=1,J65&lt;&gt;"Ninguna"),1,0)</x:f>
        <x:v>0</x:v>
      </x:c>
    </x:row>
    <x:row r="66">
      <x:c r="A66" t="str">
        <x:v>PED-0065</x:v>
      </x:c>
      <x:c r="B66" s="12" t="n">
        <x:v>46212</x:v>
      </x:c>
      <x:c r="C66" t="str">
        <x:v>ElectraSupply</x:v>
      </x:c>
      <x:c r="D66" t="str">
        <x:v>Componentes eléctricos</x:v>
      </x:c>
      <x:c r="E66" s="10" t="n">
        <x:v>11560.54</x:v>
      </x:c>
      <x:c r="F66" s="12" t="n">
        <x:v>46223</x:v>
      </x:c>
      <x:c r="G66" s="12" t="n">
        <x:v>46224</x:v>
      </x:c>
      <x:c r="H66" t="n">
        <x:v>235</x:v>
      </x:c>
      <x:c r="I66" t="n">
        <x:v>0</x:v>
      </x:c>
      <x:c r="J66" t="str">
        <x:v>Ninguna</x:v>
      </x:c>
      <x:c r="K66" t="str">
        <x:v>No</x:v>
      </x:c>
      <x:c r="L66" t="str">
        <x:v>Valencia</x:v>
      </x:c>
      <x:c r="M66" t="n">
        <x:f>IF(AND(B66&gt;=DATE(2026,7,1),B66&lt;=DATE(2026,9,30),G66&gt;=DATE(2026,7,1),G66&lt;=DATE(2026,9,30)),1,0)</x:f>
        <x:v>1</x:v>
      </x:c>
      <x:c r="N66" t="n">
        <x:f>IF(M66=1,IF(G66&lt;=F66,1,0),0)</x:f>
        <x:v>0</x:v>
      </x:c>
      <x:c r="O66" t="n">
        <x:f>IF(AND(M66=1,K66="Sí",G66&gt;F66),1,0)</x:f>
        <x:v>0</x:v>
      </x:c>
      <x:c r="P66" t="n">
        <x:f>IF(AND(M66=1,I66&gt;0),1,0)</x:f>
        <x:v>0</x:v>
      </x:c>
      <x:c r="Q66" t="n">
        <x:f>IF(AND(B66&gt;=DATE(2026,7,1),B66&lt;=DATE(2026,9,30),G66&gt;=DATE(2026,10,1),G66&lt;=DATE(2026,10,7)),1,0)</x:f>
        <x:v>0</x:v>
      </x:c>
      <x:c r="R66" t="n">
        <x:f>IF(AND(B66&gt;=DATE(2026,7,1),B66&lt;=DATE(2026,9,30),G66&gt;DATE(2026,10,7)),1,0)</x:f>
        <x:v>0</x:v>
      </x:c>
      <x:c r="S66" t="n">
        <x:f>IF(AND(M66=1,J66&lt;&gt;"Ninguna"),1,0)</x:f>
        <x:v>0</x:v>
      </x:c>
    </x:row>
    <x:row r="67">
      <x:c r="A67" t="str">
        <x:v>PED-0066</x:v>
      </x:c>
      <x:c r="B67" s="12" t="n">
        <x:v>46260</x:v>
      </x:c>
      <x:c r="C67" t="str">
        <x:v>MetalNova</x:v>
      </x:c>
      <x:c r="D67" t="str">
        <x:v>Materia prima</x:v>
      </x:c>
      <x:c r="E67" s="10" t="n">
        <x:v>204.51</x:v>
      </x:c>
      <x:c r="F67" s="12" t="n">
        <x:v>46269</x:v>
      </x:c>
      <x:c r="G67" s="12" t="n">
        <x:v>46270</x:v>
      </x:c>
      <x:c r="H67" t="n">
        <x:v>42</x:v>
      </x:c>
      <x:c r="I67" t="n">
        <x:v>0</x:v>
      </x:c>
      <x:c r="J67" t="str">
        <x:v>Ninguna</x:v>
      </x:c>
      <x:c r="K67" t="str">
        <x:v>No</x:v>
      </x:c>
      <x:c r="L67" t="str">
        <x:v>Zaragoza</x:v>
      </x:c>
      <x:c r="M67" t="n">
        <x:f>IF(AND(B67&gt;=DATE(2026,7,1),B67&lt;=DATE(2026,9,30),G67&gt;=DATE(2026,7,1),G67&lt;=DATE(2026,9,30)),1,0)</x:f>
        <x:v>1</x:v>
      </x:c>
      <x:c r="N67" t="n">
        <x:f>IF(M67=1,IF(G67&lt;=F67,1,0),0)</x:f>
        <x:v>0</x:v>
      </x:c>
      <x:c r="O67" t="n">
        <x:f>IF(AND(M67=1,K67="Sí",G67&gt;F67),1,0)</x:f>
        <x:v>0</x:v>
      </x:c>
      <x:c r="P67" t="n">
        <x:f>IF(AND(M67=1,I67&gt;0),1,0)</x:f>
        <x:v>0</x:v>
      </x:c>
      <x:c r="Q67" t="n">
        <x:f>IF(AND(B67&gt;=DATE(2026,7,1),B67&lt;=DATE(2026,9,30),G67&gt;=DATE(2026,10,1),G67&lt;=DATE(2026,10,7)),1,0)</x:f>
        <x:v>0</x:v>
      </x:c>
      <x:c r="R67" t="n">
        <x:f>IF(AND(B67&gt;=DATE(2026,7,1),B67&lt;=DATE(2026,9,30),G67&gt;DATE(2026,10,7)),1,0)</x:f>
        <x:v>0</x:v>
      </x:c>
      <x:c r="S67" t="n">
        <x:f>IF(AND(M67=1,J67&lt;&gt;"Ninguna"),1,0)</x:f>
        <x:v>0</x:v>
      </x:c>
    </x:row>
    <x:row r="68">
      <x:c r="A68" t="str">
        <x:v>PED-0067</x:v>
      </x:c>
      <x:c r="B68" s="12" t="n">
        <x:v>46234</x:v>
      </x:c>
      <x:c r="C68" t="str">
        <x:v>MetalNova</x:v>
      </x:c>
      <x:c r="D68" t="str">
        <x:v>Materia prima</x:v>
      </x:c>
      <x:c r="E68" s="10" t="n">
        <x:v>456.89</x:v>
      </x:c>
      <x:c r="F68" s="12" t="n">
        <x:v>46244</x:v>
      </x:c>
      <x:c r="G68" s="12" t="n">
        <x:v>46244</x:v>
      </x:c>
      <x:c r="H68" t="n">
        <x:v>75</x:v>
      </x:c>
      <x:c r="I68" t="n">
        <x:v>0</x:v>
      </x:c>
      <x:c r="J68" t="str">
        <x:v>Ninguna</x:v>
      </x:c>
      <x:c r="K68" t="str">
        <x:v>No</x:v>
      </x:c>
      <x:c r="L68" t="str">
        <x:v>Barcelona</x:v>
      </x:c>
      <x:c r="M68" t="n">
        <x:f>IF(AND(B68&gt;=DATE(2026,7,1),B68&lt;=DATE(2026,9,30),G68&gt;=DATE(2026,7,1),G68&lt;=DATE(2026,9,30)),1,0)</x:f>
        <x:v>1</x:v>
      </x:c>
      <x:c r="N68" t="n">
        <x:f>IF(M68=1,IF(G68&lt;=F68,1,0),0)</x:f>
        <x:v>1</x:v>
      </x:c>
      <x:c r="O68" t="n">
        <x:f>IF(AND(M68=1,K68="Sí",G68&gt;F68),1,0)</x:f>
        <x:v>0</x:v>
      </x:c>
      <x:c r="P68" t="n">
        <x:f>IF(AND(M68=1,I68&gt;0),1,0)</x:f>
        <x:v>0</x:v>
      </x:c>
      <x:c r="Q68" t="n">
        <x:f>IF(AND(B68&gt;=DATE(2026,7,1),B68&lt;=DATE(2026,9,30),G68&gt;=DATE(2026,10,1),G68&lt;=DATE(2026,10,7)),1,0)</x:f>
        <x:v>0</x:v>
      </x:c>
      <x:c r="R68" t="n">
        <x:f>IF(AND(B68&gt;=DATE(2026,7,1),B68&lt;=DATE(2026,9,30),G68&gt;DATE(2026,10,7)),1,0)</x:f>
        <x:v>0</x:v>
      </x:c>
      <x:c r="S68" t="n">
        <x:f>IF(AND(M68=1,J68&lt;&gt;"Ninguna"),1,0)</x:f>
        <x:v>0</x:v>
      </x:c>
    </x:row>
    <x:row r="69">
      <x:c r="A69" t="str">
        <x:v>PED-0068</x:v>
      </x:c>
      <x:c r="B69" s="12" t="n">
        <x:v>46274</x:v>
      </x:c>
      <x:c r="C69" t="str">
        <x:v>MetalNova</x:v>
      </x:c>
      <x:c r="D69" t="str">
        <x:v>Componentes mecánicos</x:v>
      </x:c>
      <x:c r="E69" s="10" t="n">
        <x:v>6465.36</x:v>
      </x:c>
      <x:c r="F69" s="12" t="n">
        <x:v>46286</x:v>
      </x:c>
      <x:c r="G69" s="12" t="n">
        <x:v>46289</x:v>
      </x:c>
      <x:c r="H69" t="n">
        <x:v>129</x:v>
      </x:c>
      <x:c r="I69" t="n">
        <x:v>0</x:v>
      </x:c>
      <x:c r="J69" t="str">
        <x:v>Ninguna</x:v>
      </x:c>
      <x:c r="K69" t="str">
        <x:v>No</x:v>
      </x:c>
      <x:c r="L69" t="str">
        <x:v>Barcelona</x:v>
      </x:c>
      <x:c r="M69" t="n">
        <x:f>IF(AND(B69&gt;=DATE(2026,7,1),B69&lt;=DATE(2026,9,30),G69&gt;=DATE(2026,7,1),G69&lt;=DATE(2026,9,30)),1,0)</x:f>
        <x:v>1</x:v>
      </x:c>
      <x:c r="N69" t="n">
        <x:f>IF(M69=1,IF(G69&lt;=F69,1,0),0)</x:f>
        <x:v>0</x:v>
      </x:c>
      <x:c r="O69" t="n">
        <x:f>IF(AND(M69=1,K69="Sí",G69&gt;F69),1,0)</x:f>
        <x:v>0</x:v>
      </x:c>
      <x:c r="P69" t="n">
        <x:f>IF(AND(M69=1,I69&gt;0),1,0)</x:f>
        <x:v>0</x:v>
      </x:c>
      <x:c r="Q69" t="n">
        <x:f>IF(AND(B69&gt;=DATE(2026,7,1),B69&lt;=DATE(2026,9,30),G69&gt;=DATE(2026,10,1),G69&lt;=DATE(2026,10,7)),1,0)</x:f>
        <x:v>0</x:v>
      </x:c>
      <x:c r="R69" t="n">
        <x:f>IF(AND(B69&gt;=DATE(2026,7,1),B69&lt;=DATE(2026,9,30),G69&gt;DATE(2026,10,7)),1,0)</x:f>
        <x:v>0</x:v>
      </x:c>
      <x:c r="S69" t="n">
        <x:f>IF(AND(M69=1,J69&lt;&gt;"Ninguna"),1,0)</x:f>
        <x:v>0</x:v>
      </x:c>
    </x:row>
    <x:row r="70">
      <x:c r="A70" t="str">
        <x:v>PED-0069</x:v>
      </x:c>
      <x:c r="B70" s="12" t="n">
        <x:v>46210</x:v>
      </x:c>
      <x:c r="C70" t="str">
        <x:v>MetalNova</x:v>
      </x:c>
      <x:c r="D70" t="str">
        <x:v>Materia prima</x:v>
      </x:c>
      <x:c r="E70" s="10" t="n">
        <x:v>3176.58</x:v>
      </x:c>
      <x:c r="F70" s="12" t="n">
        <x:v>46222</x:v>
      </x:c>
      <x:c r="G70" s="12" t="n">
        <x:v>46225</x:v>
      </x:c>
      <x:c r="H70" t="n">
        <x:v>72</x:v>
      </x:c>
      <x:c r="I70" t="n">
        <x:v>0</x:v>
      </x:c>
      <x:c r="J70" t="str">
        <x:v>Daño transporte</x:v>
      </x:c>
      <x:c r="K70" t="str">
        <x:v>No</x:v>
      </x:c>
      <x:c r="L70" t="str">
        <x:v>Barcelona</x:v>
      </x:c>
      <x:c r="M70" t="n">
        <x:f>IF(AND(B70&gt;=DATE(2026,7,1),B70&lt;=DATE(2026,9,30),G70&gt;=DATE(2026,7,1),G70&lt;=DATE(2026,9,30)),1,0)</x:f>
        <x:v>1</x:v>
      </x:c>
      <x:c r="N70" t="n">
        <x:f>IF(M70=1,IF(G70&lt;=F70,1,0),0)</x:f>
        <x:v>0</x:v>
      </x:c>
      <x:c r="O70" t="n">
        <x:f>IF(AND(M70=1,K70="Sí",G70&gt;F70),1,0)</x:f>
        <x:v>0</x:v>
      </x:c>
      <x:c r="P70" t="n">
        <x:f>IF(AND(M70=1,I70&gt;0),1,0)</x:f>
        <x:v>0</x:v>
      </x:c>
      <x:c r="Q70" t="n">
        <x:f>IF(AND(B70&gt;=DATE(2026,7,1),B70&lt;=DATE(2026,9,30),G70&gt;=DATE(2026,10,1),G70&lt;=DATE(2026,10,7)),1,0)</x:f>
        <x:v>0</x:v>
      </x:c>
      <x:c r="R70" t="n">
        <x:f>IF(AND(B70&gt;=DATE(2026,7,1),B70&lt;=DATE(2026,9,30),G70&gt;DATE(2026,10,7)),1,0)</x:f>
        <x:v>0</x:v>
      </x:c>
      <x:c r="S70" t="n">
        <x:f>IF(AND(M70=1,J70&lt;&gt;"Ninguna"),1,0)</x:f>
        <x:v>1</x:v>
      </x:c>
    </x:row>
    <x:row r="71">
      <x:c r="A71" t="str">
        <x:v>PED-0070</x:v>
      </x:c>
      <x:c r="B71" s="12" t="n">
        <x:v>46292</x:v>
      </x:c>
      <x:c r="C71" t="str">
        <x:v>MecaParts</x:v>
      </x:c>
      <x:c r="D71" t="str">
        <x:v>Componentes mecánicos</x:v>
      </x:c>
      <x:c r="E71" s="10" t="n">
        <x:v>5083.6</x:v>
      </x:c>
      <x:c r="F71" s="12" t="n">
        <x:v>46302</x:v>
      </x:c>
      <x:c r="G71" s="12" t="n">
        <x:v>46305</x:v>
      </x:c>
      <x:c r="H71" t="n">
        <x:v>118</x:v>
      </x:c>
      <x:c r="I71" t="n">
        <x:v>0</x:v>
      </x:c>
      <x:c r="J71" t="str">
        <x:v>Ninguna</x:v>
      </x:c>
      <x:c r="K71" t="str">
        <x:v>No</x:v>
      </x:c>
      <x:c r="L71" t="str">
        <x:v>Zaragoza</x:v>
      </x:c>
      <x:c r="M71" t="n">
        <x:f>IF(AND(B71&gt;=DATE(2026,7,1),B71&lt;=DATE(2026,9,30),G71&gt;=DATE(2026,7,1),G71&lt;=DATE(2026,9,30)),1,0)</x:f>
        <x:v>0</x:v>
      </x:c>
      <x:c r="N71" t="n">
        <x:f>IF(M71=1,IF(G71&lt;=F71,1,0),0)</x:f>
        <x:v>0</x:v>
      </x:c>
      <x:c r="O71" t="n">
        <x:f>IF(AND(M71=1,K71="Sí",G71&gt;F71),1,0)</x:f>
        <x:v>0</x:v>
      </x:c>
      <x:c r="P71" t="n">
        <x:f>IF(AND(M71=1,I71&gt;0),1,0)</x:f>
        <x:v>0</x:v>
      </x:c>
      <x:c r="Q71" t="n">
        <x:f>IF(AND(B71&gt;=DATE(2026,7,1),B71&lt;=DATE(2026,9,30),G71&gt;=DATE(2026,10,1),G71&lt;=DATE(2026,10,7)),1,0)</x:f>
        <x:v>0</x:v>
      </x:c>
      <x:c r="R71" t="n">
        <x:f>IF(AND(B71&gt;=DATE(2026,7,1),B71&lt;=DATE(2026,9,30),G71&gt;DATE(2026,10,7)),1,0)</x:f>
        <x:v>1</x:v>
      </x:c>
      <x:c r="S71" t="n">
        <x:f>IF(AND(M71=1,J71&lt;&gt;"Ninguna"),1,0)</x:f>
        <x:v>0</x:v>
      </x:c>
    </x:row>
    <x:row r="72">
      <x:c r="A72" t="str">
        <x:v>PED-0071</x:v>
      </x:c>
      <x:c r="B72" s="12" t="n">
        <x:v>46209</x:v>
      </x:c>
      <x:c r="C72" t="str">
        <x:v>PackPro</x:v>
      </x:c>
      <x:c r="D72" t="str">
        <x:v>Embalaje</x:v>
      </x:c>
      <x:c r="E72" s="10" t="n">
        <x:v>2151.6</x:v>
      </x:c>
      <x:c r="F72" s="12" t="n">
        <x:v>46214</x:v>
      </x:c>
      <x:c r="G72" s="12" t="n">
        <x:v>46217</x:v>
      </x:c>
      <x:c r="H72" t="n">
        <x:v>47</x:v>
      </x:c>
      <x:c r="I72" t="n">
        <x:v>0</x:v>
      </x:c>
      <x:c r="J72" t="str">
        <x:v>Ninguna</x:v>
      </x:c>
      <x:c r="K72" t="str">
        <x:v>No</x:v>
      </x:c>
      <x:c r="L72" t="str">
        <x:v>Zaragoza</x:v>
      </x:c>
      <x:c r="M72" t="n">
        <x:f>IF(AND(B72&gt;=DATE(2026,7,1),B72&lt;=DATE(2026,9,30),G72&gt;=DATE(2026,7,1),G72&lt;=DATE(2026,9,30)),1,0)</x:f>
        <x:v>1</x:v>
      </x:c>
      <x:c r="N72" t="n">
        <x:f>IF(M72=1,IF(G72&lt;=F72,1,0),0)</x:f>
        <x:v>0</x:v>
      </x:c>
      <x:c r="O72" t="n">
        <x:f>IF(AND(M72=1,K72="Sí",G72&gt;F72),1,0)</x:f>
        <x:v>0</x:v>
      </x:c>
      <x:c r="P72" t="n">
        <x:f>IF(AND(M72=1,I72&gt;0),1,0)</x:f>
        <x:v>0</x:v>
      </x:c>
      <x:c r="Q72" t="n">
        <x:f>IF(AND(B72&gt;=DATE(2026,7,1),B72&lt;=DATE(2026,9,30),G72&gt;=DATE(2026,10,1),G72&lt;=DATE(2026,10,7)),1,0)</x:f>
        <x:v>0</x:v>
      </x:c>
      <x:c r="R72" t="n">
        <x:f>IF(AND(B72&gt;=DATE(2026,7,1),B72&lt;=DATE(2026,9,30),G72&gt;DATE(2026,10,7)),1,0)</x:f>
        <x:v>0</x:v>
      </x:c>
      <x:c r="S72" t="n">
        <x:f>IF(AND(M72=1,J72&lt;&gt;"Ninguna"),1,0)</x:f>
        <x:v>0</x:v>
      </x:c>
    </x:row>
    <x:row r="73">
      <x:c r="A73" t="str">
        <x:v>PED-0072</x:v>
      </x:c>
      <x:c r="B73" s="12" t="n">
        <x:v>46217</x:v>
      </x:c>
      <x:c r="C73" t="str">
        <x:v>OfiPlus</x:v>
      </x:c>
      <x:c r="D73" t="str">
        <x:v>Consumibles</x:v>
      </x:c>
      <x:c r="E73" s="10" t="n">
        <x:v>2582.6</x:v>
      </x:c>
      <x:c r="F73" s="12" t="n">
        <x:v>46222</x:v>
      </x:c>
      <x:c r="G73" s="12" t="n">
        <x:v>46223</x:v>
      </x:c>
      <x:c r="H73" t="n">
        <x:v>54</x:v>
      </x:c>
      <x:c r="I73" t="n">
        <x:v>0</x:v>
      </x:c>
      <x:c r="J73" t="str">
        <x:v>Ninguna</x:v>
      </x:c>
      <x:c r="K73" t="str">
        <x:v>No</x:v>
      </x:c>
      <x:c r="L73" t="str">
        <x:v>Valencia</x:v>
      </x:c>
      <x:c r="M73" t="n">
        <x:f>IF(AND(B73&gt;=DATE(2026,7,1),B73&lt;=DATE(2026,9,30),G73&gt;=DATE(2026,7,1),G73&lt;=DATE(2026,9,30)),1,0)</x:f>
        <x:v>1</x:v>
      </x:c>
      <x:c r="N73" t="n">
        <x:f>IF(M73=1,IF(G73&lt;=F73,1,0),0)</x:f>
        <x:v>0</x:v>
      </x:c>
      <x:c r="O73" t="n">
        <x:f>IF(AND(M73=1,K73="Sí",G73&gt;F73),1,0)</x:f>
        <x:v>0</x:v>
      </x:c>
      <x:c r="P73" t="n">
        <x:f>IF(AND(M73=1,I73&gt;0),1,0)</x:f>
        <x:v>0</x:v>
      </x:c>
      <x:c r="Q73" t="n">
        <x:f>IF(AND(B73&gt;=DATE(2026,7,1),B73&lt;=DATE(2026,9,30),G73&gt;=DATE(2026,10,1),G73&lt;=DATE(2026,10,7)),1,0)</x:f>
        <x:v>0</x:v>
      </x:c>
      <x:c r="R73" t="n">
        <x:f>IF(AND(B73&gt;=DATE(2026,7,1),B73&lt;=DATE(2026,9,30),G73&gt;DATE(2026,10,7)),1,0)</x:f>
        <x:v>0</x:v>
      </x:c>
      <x:c r="S73" t="n">
        <x:f>IF(AND(M73=1,J73&lt;&gt;"Ninguna"),1,0)</x:f>
        <x:v>0</x:v>
      </x:c>
    </x:row>
    <x:row r="74">
      <x:c r="A74" t="str">
        <x:v>PED-0073</x:v>
      </x:c>
      <x:c r="B74" s="12" t="n">
        <x:v>46290</x:v>
      </x:c>
      <x:c r="C74" t="str">
        <x:v>ElectraSupply</x:v>
      </x:c>
      <x:c r="D74" t="str">
        <x:v>Componentes eléctricos</x:v>
      </x:c>
      <x:c r="E74" s="10" t="n">
        <x:v>3431.37</x:v>
      </x:c>
      <x:c r="F74" s="12" t="n">
        <x:v>46301</x:v>
      </x:c>
      <x:c r="G74" s="12" t="n">
        <x:v>46309</x:v>
      </x:c>
      <x:c r="H74" t="n">
        <x:v>125</x:v>
      </x:c>
      <x:c r="I74" t="n">
        <x:v>0</x:v>
      </x:c>
      <x:c r="J74" t="str">
        <x:v>Retraso</x:v>
      </x:c>
      <x:c r="K74" t="str">
        <x:v>No</x:v>
      </x:c>
      <x:c r="L74" t="str">
        <x:v>Zaragoza</x:v>
      </x:c>
      <x:c r="M74" t="n">
        <x:f>IF(AND(B74&gt;=DATE(2026,7,1),B74&lt;=DATE(2026,9,30),G74&gt;=DATE(2026,7,1),G74&lt;=DATE(2026,9,30)),1,0)</x:f>
        <x:v>0</x:v>
      </x:c>
      <x:c r="N74" t="n">
        <x:f>IF(M74=1,IF(G74&lt;=F74,1,0),0)</x:f>
        <x:v>0</x:v>
      </x:c>
      <x:c r="O74" t="n">
        <x:f>IF(AND(M74=1,K74="Sí",G74&gt;F74),1,0)</x:f>
        <x:v>0</x:v>
      </x:c>
      <x:c r="P74" t="n">
        <x:f>IF(AND(M74=1,I74&gt;0),1,0)</x:f>
        <x:v>0</x:v>
      </x:c>
      <x:c r="Q74" t="n">
        <x:f>IF(AND(B74&gt;=DATE(2026,7,1),B74&lt;=DATE(2026,9,30),G74&gt;=DATE(2026,10,1),G74&lt;=DATE(2026,10,7)),1,0)</x:f>
        <x:v>0</x:v>
      </x:c>
      <x:c r="R74" t="n">
        <x:f>IF(AND(B74&gt;=DATE(2026,7,1),B74&lt;=DATE(2026,9,30),G74&gt;DATE(2026,10,7)),1,0)</x:f>
        <x:v>1</x:v>
      </x:c>
      <x:c r="S74" t="n">
        <x:f>IF(AND(M74=1,J74&lt;&gt;"Ninguna"),1,0)</x:f>
        <x:v>0</x:v>
      </x:c>
    </x:row>
    <x:row r="75">
      <x:c r="A75" t="str">
        <x:v>PED-0074</x:v>
      </x:c>
      <x:c r="B75" s="12" t="n">
        <x:v>46246</x:v>
      </x:c>
      <x:c r="C75" t="str">
        <x:v>MetalNova</x:v>
      </x:c>
      <x:c r="D75" t="str">
        <x:v>Materia prima</x:v>
      </x:c>
      <x:c r="E75" s="10" t="n">
        <x:v>9050.65</x:v>
      </x:c>
      <x:c r="F75" s="12" t="n">
        <x:v>46257</x:v>
      </x:c>
      <x:c r="G75" s="12" t="n">
        <x:v>46256</x:v>
      </x:c>
      <x:c r="H75" t="n">
        <x:v>324</x:v>
      </x:c>
      <x:c r="I75" t="n">
        <x:v>0</x:v>
      </x:c>
      <x:c r="J75" t="str">
        <x:v>Ninguna</x:v>
      </x:c>
      <x:c r="K75" t="str">
        <x:v>No</x:v>
      </x:c>
      <x:c r="L75" t="str">
        <x:v>Valencia</x:v>
      </x:c>
      <x:c r="M75" t="n">
        <x:f>IF(AND(B75&gt;=DATE(2026,7,1),B75&lt;=DATE(2026,9,30),G75&gt;=DATE(2026,7,1),G75&lt;=DATE(2026,9,30)),1,0)</x:f>
        <x:v>1</x:v>
      </x:c>
      <x:c r="N75" t="n">
        <x:f>IF(M75=1,IF(G75&lt;=F75,1,0),0)</x:f>
        <x:v>1</x:v>
      </x:c>
      <x:c r="O75" t="n">
        <x:f>IF(AND(M75=1,K75="Sí",G75&gt;F75),1,0)</x:f>
        <x:v>0</x:v>
      </x:c>
      <x:c r="P75" t="n">
        <x:f>IF(AND(M75=1,I75&gt;0),1,0)</x:f>
        <x:v>0</x:v>
      </x:c>
      <x:c r="Q75" t="n">
        <x:f>IF(AND(B75&gt;=DATE(2026,7,1),B75&lt;=DATE(2026,9,30),G75&gt;=DATE(2026,10,1),G75&lt;=DATE(2026,10,7)),1,0)</x:f>
        <x:v>0</x:v>
      </x:c>
      <x:c r="R75" t="n">
        <x:f>IF(AND(B75&gt;=DATE(2026,7,1),B75&lt;=DATE(2026,9,30),G75&gt;DATE(2026,10,7)),1,0)</x:f>
        <x:v>0</x:v>
      </x:c>
      <x:c r="S75" t="n">
        <x:f>IF(AND(M75=1,J75&lt;&gt;"Ninguna"),1,0)</x:f>
        <x:v>0</x:v>
      </x:c>
    </x:row>
    <x:row r="76">
      <x:c r="A76" t="str">
        <x:v>PED-0075</x:v>
      </x:c>
      <x:c r="B76" s="12" t="n">
        <x:v>46259</x:v>
      </x:c>
      <x:c r="C76" t="str">
        <x:v>OfiPlus</x:v>
      </x:c>
      <x:c r="D76" t="str">
        <x:v>Consumibles</x:v>
      </x:c>
      <x:c r="E76" s="10" t="n">
        <x:v>8472.81</x:v>
      </x:c>
      <x:c r="F76" s="12" t="n">
        <x:v>46265</x:v>
      </x:c>
      <x:c r="G76" s="12" t="n">
        <x:v>46263</x:v>
      </x:c>
      <x:c r="H76" t="n">
        <x:v>314</x:v>
      </x:c>
      <x:c r="I76" t="n">
        <x:v>0</x:v>
      </x:c>
      <x:c r="J76" t="str">
        <x:v>Ninguna</x:v>
      </x:c>
      <x:c r="K76" t="str">
        <x:v>No</x:v>
      </x:c>
      <x:c r="L76" t="str">
        <x:v>Zaragoza</x:v>
      </x:c>
      <x:c r="M76" t="n">
        <x:f>IF(AND(B76&gt;=DATE(2026,7,1),B76&lt;=DATE(2026,9,30),G76&gt;=DATE(2026,7,1),G76&lt;=DATE(2026,9,30)),1,0)</x:f>
        <x:v>1</x:v>
      </x:c>
      <x:c r="N76" t="n">
        <x:f>IF(M76=1,IF(G76&lt;=F76,1,0),0)</x:f>
        <x:v>1</x:v>
      </x:c>
      <x:c r="O76" t="n">
        <x:f>IF(AND(M76=1,K76="Sí",G76&gt;F76),1,0)</x:f>
        <x:v>0</x:v>
      </x:c>
      <x:c r="P76" t="n">
        <x:f>IF(AND(M76=1,I76&gt;0),1,0)</x:f>
        <x:v>0</x:v>
      </x:c>
      <x:c r="Q76" t="n">
        <x:f>IF(AND(B76&gt;=DATE(2026,7,1),B76&lt;=DATE(2026,9,30),G76&gt;=DATE(2026,10,1),G76&lt;=DATE(2026,10,7)),1,0)</x:f>
        <x:v>0</x:v>
      </x:c>
      <x:c r="R76" t="n">
        <x:f>IF(AND(B76&gt;=DATE(2026,7,1),B76&lt;=DATE(2026,9,30),G76&gt;DATE(2026,10,7)),1,0)</x:f>
        <x:v>0</x:v>
      </x:c>
      <x:c r="S76" t="n">
        <x:f>IF(AND(M76=1,J76&lt;&gt;"Ninguna"),1,0)</x:f>
        <x:v>0</x:v>
      </x:c>
    </x:row>
    <x:row r="77">
      <x:c r="A77" t="str">
        <x:v>PED-0076</x:v>
      </x:c>
      <x:c r="B77" s="12" t="n">
        <x:v>46280</x:v>
      </x:c>
      <x:c r="C77" t="str">
        <x:v>MetalNova</x:v>
      </x:c>
      <x:c r="D77" t="str">
        <x:v>Materia prima</x:v>
      </x:c>
      <x:c r="E77" s="10" t="n">
        <x:v>7933.39</x:v>
      </x:c>
      <x:c r="F77" s="12" t="n">
        <x:v>46289</x:v>
      </x:c>
      <x:c r="G77" s="12" t="n">
        <x:v>46287</x:v>
      </x:c>
      <x:c r="H77" t="n">
        <x:v>340</x:v>
      </x:c>
      <x:c r="I77" t="n">
        <x:v>0</x:v>
      </x:c>
      <x:c r="J77" t="str">
        <x:v>Ninguna</x:v>
      </x:c>
      <x:c r="K77" t="str">
        <x:v>No</x:v>
      </x:c>
      <x:c r="L77" t="str">
        <x:v>Zaragoza</x:v>
      </x:c>
      <x:c r="M77" t="n">
        <x:f>IF(AND(B77&gt;=DATE(2026,7,1),B77&lt;=DATE(2026,9,30),G77&gt;=DATE(2026,7,1),G77&lt;=DATE(2026,9,30)),1,0)</x:f>
        <x:v>1</x:v>
      </x:c>
      <x:c r="N77" t="n">
        <x:f>IF(M77=1,IF(G77&lt;=F77,1,0),0)</x:f>
        <x:v>1</x:v>
      </x:c>
      <x:c r="O77" t="n">
        <x:f>IF(AND(M77=1,K77="Sí",G77&gt;F77),1,0)</x:f>
        <x:v>0</x:v>
      </x:c>
      <x:c r="P77" t="n">
        <x:f>IF(AND(M77=1,I77&gt;0),1,0)</x:f>
        <x:v>0</x:v>
      </x:c>
      <x:c r="Q77" t="n">
        <x:f>IF(AND(B77&gt;=DATE(2026,7,1),B77&lt;=DATE(2026,9,30),G77&gt;=DATE(2026,10,1),G77&lt;=DATE(2026,10,7)),1,0)</x:f>
        <x:v>0</x:v>
      </x:c>
      <x:c r="R77" t="n">
        <x:f>IF(AND(B77&gt;=DATE(2026,7,1),B77&lt;=DATE(2026,9,30),G77&gt;DATE(2026,10,7)),1,0)</x:f>
        <x:v>0</x:v>
      </x:c>
      <x:c r="S77" t="n">
        <x:f>IF(AND(M77=1,J77&lt;&gt;"Ninguna"),1,0)</x:f>
        <x:v>0</x:v>
      </x:c>
    </x:row>
    <x:row r="78">
      <x:c r="A78" t="str">
        <x:v>PED-0077</x:v>
      </x:c>
      <x:c r="B78" s="12" t="n">
        <x:v>46265</x:v>
      </x:c>
      <x:c r="C78" t="str">
        <x:v>ElectraSupply</x:v>
      </x:c>
      <x:c r="D78" t="str">
        <x:v>Componentes eléctricos</x:v>
      </x:c>
      <x:c r="E78" s="10" t="n">
        <x:v>2933.6</x:v>
      </x:c>
      <x:c r="F78" s="12" t="n">
        <x:v>46277</x:v>
      </x:c>
      <x:c r="G78" s="12" t="n">
        <x:v>46284</x:v>
      </x:c>
      <x:c r="H78" t="n">
        <x:v>190</x:v>
      </x:c>
      <x:c r="I78" t="n">
        <x:v>0</x:v>
      </x:c>
      <x:c r="J78" t="str">
        <x:v>Ninguna</x:v>
      </x:c>
      <x:c r="K78" t="str">
        <x:v>No</x:v>
      </x:c>
      <x:c r="L78" t="str">
        <x:v>Zaragoza</x:v>
      </x:c>
      <x:c r="M78" t="n">
        <x:f>IF(AND(B78&gt;=DATE(2026,7,1),B78&lt;=DATE(2026,9,30),G78&gt;=DATE(2026,7,1),G78&lt;=DATE(2026,9,30)),1,0)</x:f>
        <x:v>1</x:v>
      </x:c>
      <x:c r="N78" t="n">
        <x:f>IF(M78=1,IF(G78&lt;=F78,1,0),0)</x:f>
        <x:v>0</x:v>
      </x:c>
      <x:c r="O78" t="n">
        <x:f>IF(AND(M78=1,K78="Sí",G78&gt;F78),1,0)</x:f>
        <x:v>0</x:v>
      </x:c>
      <x:c r="P78" t="n">
        <x:f>IF(AND(M78=1,I78&gt;0),1,0)</x:f>
        <x:v>0</x:v>
      </x:c>
      <x:c r="Q78" t="n">
        <x:f>IF(AND(B78&gt;=DATE(2026,7,1),B78&lt;=DATE(2026,9,30),G78&gt;=DATE(2026,10,1),G78&lt;=DATE(2026,10,7)),1,0)</x:f>
        <x:v>0</x:v>
      </x:c>
      <x:c r="R78" t="n">
        <x:f>IF(AND(B78&gt;=DATE(2026,7,1),B78&lt;=DATE(2026,9,30),G78&gt;DATE(2026,10,7)),1,0)</x:f>
        <x:v>0</x:v>
      </x:c>
      <x:c r="S78" t="n">
        <x:f>IF(AND(M78=1,J78&lt;&gt;"Ninguna"),1,0)</x:f>
        <x:v>0</x:v>
      </x:c>
    </x:row>
    <x:row r="79">
      <x:c r="A79" t="str">
        <x:v>PED-0078</x:v>
      </x:c>
      <x:c r="B79" s="12" t="n">
        <x:v>46283</x:v>
      </x:c>
      <x:c r="C79" t="str">
        <x:v>PackPro</x:v>
      </x:c>
      <x:c r="D79" t="str">
        <x:v>Embalaje</x:v>
      </x:c>
      <x:c r="E79" s="10" t="n">
        <x:v>2469.94</x:v>
      </x:c>
      <x:c r="F79" s="12" t="n">
        <x:v>46290</x:v>
      </x:c>
      <x:c r="G79" s="12" t="n">
        <x:v>46291</x:v>
      </x:c>
      <x:c r="H79" t="n">
        <x:v>95</x:v>
      </x:c>
      <x:c r="I79" t="n">
        <x:v>0</x:v>
      </x:c>
      <x:c r="J79" t="str">
        <x:v>Cantidad incorrecta</x:v>
      </x:c>
      <x:c r="K79" t="str">
        <x:v>No</x:v>
      </x:c>
      <x:c r="L79" t="str">
        <x:v>Zaragoza</x:v>
      </x:c>
      <x:c r="M79" t="n">
        <x:f>IF(AND(B79&gt;=DATE(2026,7,1),B79&lt;=DATE(2026,9,30),G79&gt;=DATE(2026,7,1),G79&lt;=DATE(2026,9,30)),1,0)</x:f>
        <x:v>1</x:v>
      </x:c>
      <x:c r="N79" t="n">
        <x:f>IF(M79=1,IF(G79&lt;=F79,1,0),0)</x:f>
        <x:v>0</x:v>
      </x:c>
      <x:c r="O79" t="n">
        <x:f>IF(AND(M79=1,K79="Sí",G79&gt;F79),1,0)</x:f>
        <x:v>0</x:v>
      </x:c>
      <x:c r="P79" t="n">
        <x:f>IF(AND(M79=1,I79&gt;0),1,0)</x:f>
        <x:v>0</x:v>
      </x:c>
      <x:c r="Q79" t="n">
        <x:f>IF(AND(B79&gt;=DATE(2026,7,1),B79&lt;=DATE(2026,9,30),G79&gt;=DATE(2026,10,1),G79&lt;=DATE(2026,10,7)),1,0)</x:f>
        <x:v>0</x:v>
      </x:c>
      <x:c r="R79" t="n">
        <x:f>IF(AND(B79&gt;=DATE(2026,7,1),B79&lt;=DATE(2026,9,30),G79&gt;DATE(2026,10,7)),1,0)</x:f>
        <x:v>0</x:v>
      </x:c>
      <x:c r="S79" t="n">
        <x:f>IF(AND(M79=1,J79&lt;&gt;"Ninguna"),1,0)</x:f>
        <x:v>1</x:v>
      </x:c>
    </x:row>
    <x:row r="80">
      <x:c r="A80" t="str">
        <x:v>PED-0079</x:v>
      </x:c>
      <x:c r="B80" s="12" t="n">
        <x:v>46205</x:v>
      </x:c>
      <x:c r="C80" t="str">
        <x:v>MetalNova</x:v>
      </x:c>
      <x:c r="D80" t="str">
        <x:v>Materia prima</x:v>
      </x:c>
      <x:c r="E80" s="10" t="n">
        <x:v>2378.93</x:v>
      </x:c>
      <x:c r="F80" s="12" t="n">
        <x:v>46217</x:v>
      </x:c>
      <x:c r="G80" s="12" t="n">
        <x:v>46221</x:v>
      </x:c>
      <x:c r="H80" t="n">
        <x:v>152</x:v>
      </x:c>
      <x:c r="I80" t="n">
        <x:v>15</x:v>
      </x:c>
      <x:c r="J80" t="str">
        <x:v>Calidad</x:v>
      </x:c>
      <x:c r="K80" t="str">
        <x:v>No</x:v>
      </x:c>
      <x:c r="L80" t="str">
        <x:v>Barcelona</x:v>
      </x:c>
      <x:c r="M80" t="n">
        <x:f>IF(AND(B80&gt;=DATE(2026,7,1),B80&lt;=DATE(2026,9,30),G80&gt;=DATE(2026,7,1),G80&lt;=DATE(2026,9,30)),1,0)</x:f>
        <x:v>1</x:v>
      </x:c>
      <x:c r="N80" t="n">
        <x:f>IF(M80=1,IF(G80&lt;=F80,1,0),0)</x:f>
        <x:v>0</x:v>
      </x:c>
      <x:c r="O80" t="n">
        <x:f>IF(AND(M80=1,K80="Sí",G80&gt;F80),1,0)</x:f>
        <x:v>0</x:v>
      </x:c>
      <x:c r="P80" t="n">
        <x:f>IF(AND(M80=1,I80&gt;0),1,0)</x:f>
        <x:v>1</x:v>
      </x:c>
      <x:c r="Q80" t="n">
        <x:f>IF(AND(B80&gt;=DATE(2026,7,1),B80&lt;=DATE(2026,9,30),G80&gt;=DATE(2026,10,1),G80&lt;=DATE(2026,10,7)),1,0)</x:f>
        <x:v>0</x:v>
      </x:c>
      <x:c r="R80" t="n">
        <x:f>IF(AND(B80&gt;=DATE(2026,7,1),B80&lt;=DATE(2026,9,30),G80&gt;DATE(2026,10,7)),1,0)</x:f>
        <x:v>0</x:v>
      </x:c>
      <x:c r="S80" t="n">
        <x:f>IF(AND(M80=1,J80&lt;&gt;"Ninguna"),1,0)</x:f>
        <x:v>1</x:v>
      </x:c>
    </x:row>
    <x:row r="81">
      <x:c r="A81" t="str">
        <x:v>PED-0080</x:v>
      </x:c>
      <x:c r="B81" s="12" t="n">
        <x:v>46230</x:v>
      </x:c>
      <x:c r="C81" t="str">
        <x:v>MetalNova</x:v>
      </x:c>
      <x:c r="D81" t="str">
        <x:v>Materia prima</x:v>
      </x:c>
      <x:c r="E81" s="10" t="n">
        <x:v>11249.21</x:v>
      </x:c>
      <x:c r="F81" s="12" t="n">
        <x:v>46239</x:v>
      </x:c>
      <x:c r="G81" s="12" t="n">
        <x:v>46245</x:v>
      </x:c>
      <x:c r="H81" t="n">
        <x:v>239</x:v>
      </x:c>
      <x:c r="I81" t="n">
        <x:v>0</x:v>
      </x:c>
      <x:c r="J81" t="str">
        <x:v>Retraso</x:v>
      </x:c>
      <x:c r="K81" t="str">
        <x:v>No</x:v>
      </x:c>
      <x:c r="L81" t="str">
        <x:v>Zaragoza</x:v>
      </x:c>
      <x:c r="M81" t="n">
        <x:f>IF(AND(B81&gt;=DATE(2026,7,1),B81&lt;=DATE(2026,9,30),G81&gt;=DATE(2026,7,1),G81&lt;=DATE(2026,9,30)),1,0)</x:f>
        <x:v>1</x:v>
      </x:c>
      <x:c r="N81" t="n">
        <x:f>IF(M81=1,IF(G81&lt;=F81,1,0),0)</x:f>
        <x:v>0</x:v>
      </x:c>
      <x:c r="O81" t="n">
        <x:f>IF(AND(M81=1,K81="Sí",G81&gt;F81),1,0)</x:f>
        <x:v>0</x:v>
      </x:c>
      <x:c r="P81" t="n">
        <x:f>IF(AND(M81=1,I81&gt;0),1,0)</x:f>
        <x:v>0</x:v>
      </x:c>
      <x:c r="Q81" t="n">
        <x:f>IF(AND(B81&gt;=DATE(2026,7,1),B81&lt;=DATE(2026,9,30),G81&gt;=DATE(2026,10,1),G81&lt;=DATE(2026,10,7)),1,0)</x:f>
        <x:v>0</x:v>
      </x:c>
      <x:c r="R81" t="n">
        <x:f>IF(AND(B81&gt;=DATE(2026,7,1),B81&lt;=DATE(2026,9,30),G81&gt;DATE(2026,10,7)),1,0)</x:f>
        <x:v>0</x:v>
      </x:c>
      <x:c r="S81" t="n">
        <x:f>IF(AND(M81=1,J81&lt;&gt;"Ninguna"),1,0)</x:f>
        <x:v>1</x:v>
      </x:c>
    </x:row>
    <x:row r="82">
      <x:c r="A82" t="str">
        <x:v>PED-0081</x:v>
      </x:c>
      <x:c r="B82" s="12" t="n">
        <x:v>46257</x:v>
      </x:c>
      <x:c r="C82" t="str">
        <x:v>ElectraSupply</x:v>
      </x:c>
      <x:c r="D82" t="str">
        <x:v>Componentes eléctricos</x:v>
      </x:c>
      <x:c r="E82" s="10" t="n">
        <x:v>6244.05</x:v>
      </x:c>
      <x:c r="F82" s="12" t="n">
        <x:v>46268</x:v>
      </x:c>
      <x:c r="G82" s="12" t="n">
        <x:v>46270</x:v>
      </x:c>
      <x:c r="H82" t="n">
        <x:v>161</x:v>
      </x:c>
      <x:c r="I82" t="n">
        <x:v>0</x:v>
      </x:c>
      <x:c r="J82" t="str">
        <x:v>Ninguna</x:v>
      </x:c>
      <x:c r="K82" t="str">
        <x:v>No</x:v>
      </x:c>
      <x:c r="L82" t="str">
        <x:v>Zaragoza</x:v>
      </x:c>
      <x:c r="M82" t="n">
        <x:f>IF(AND(B82&gt;=DATE(2026,7,1),B82&lt;=DATE(2026,9,30),G82&gt;=DATE(2026,7,1),G82&lt;=DATE(2026,9,30)),1,0)</x:f>
        <x:v>1</x:v>
      </x:c>
      <x:c r="N82" t="n">
        <x:f>IF(M82=1,IF(G82&lt;=F82,1,0),0)</x:f>
        <x:v>0</x:v>
      </x:c>
      <x:c r="O82" t="n">
        <x:f>IF(AND(M82=1,K82="Sí",G82&gt;F82),1,0)</x:f>
        <x:v>0</x:v>
      </x:c>
      <x:c r="P82" t="n">
        <x:f>IF(AND(M82=1,I82&gt;0),1,0)</x:f>
        <x:v>0</x:v>
      </x:c>
      <x:c r="Q82" t="n">
        <x:f>IF(AND(B82&gt;=DATE(2026,7,1),B82&lt;=DATE(2026,9,30),G82&gt;=DATE(2026,10,1),G82&lt;=DATE(2026,10,7)),1,0)</x:f>
        <x:v>0</x:v>
      </x:c>
      <x:c r="R82" t="n">
        <x:f>IF(AND(B82&gt;=DATE(2026,7,1),B82&lt;=DATE(2026,9,30),G82&gt;DATE(2026,10,7)),1,0)</x:f>
        <x:v>0</x:v>
      </x:c>
      <x:c r="S82" t="n">
        <x:f>IF(AND(M82=1,J82&lt;&gt;"Ninguna"),1,0)</x:f>
        <x:v>0</x:v>
      </x:c>
    </x:row>
    <x:row r="83">
      <x:c r="A83" t="str">
        <x:v>PED-0082</x:v>
      </x:c>
      <x:c r="B83" s="12" t="n">
        <x:v>46270</x:v>
      </x:c>
      <x:c r="C83" t="str">
        <x:v>MecaParts</x:v>
      </x:c>
      <x:c r="D83" t="str">
        <x:v>Componentes mecánicos</x:v>
      </x:c>
      <x:c r="E83" s="10" t="n">
        <x:v>9081.69</x:v>
      </x:c>
      <x:c r="F83" s="12" t="n">
        <x:v>46279</x:v>
      </x:c>
      <x:c r="G83" s="12" t="n">
        <x:v>46283</x:v>
      </x:c>
      <x:c r="H83" t="n">
        <x:v>184</x:v>
      </x:c>
      <x:c r="I83" t="n">
        <x:v>0</x:v>
      </x:c>
      <x:c r="J83" t="str">
        <x:v>Ninguna</x:v>
      </x:c>
      <x:c r="K83" t="str">
        <x:v>No</x:v>
      </x:c>
      <x:c r="L83" t="str">
        <x:v>Barcelona</x:v>
      </x:c>
      <x:c r="M83" t="n">
        <x:f>IF(AND(B83&gt;=DATE(2026,7,1),B83&lt;=DATE(2026,9,30),G83&gt;=DATE(2026,7,1),G83&lt;=DATE(2026,9,30)),1,0)</x:f>
        <x:v>1</x:v>
      </x:c>
      <x:c r="N83" t="n">
        <x:f>IF(M83=1,IF(G83&lt;=F83,1,0),0)</x:f>
        <x:v>0</x:v>
      </x:c>
      <x:c r="O83" t="n">
        <x:f>IF(AND(M83=1,K83="Sí",G83&gt;F83),1,0)</x:f>
        <x:v>0</x:v>
      </x:c>
      <x:c r="P83" t="n">
        <x:f>IF(AND(M83=1,I83&gt;0),1,0)</x:f>
        <x:v>0</x:v>
      </x:c>
      <x:c r="Q83" t="n">
        <x:f>IF(AND(B83&gt;=DATE(2026,7,1),B83&lt;=DATE(2026,9,30),G83&gt;=DATE(2026,10,1),G83&lt;=DATE(2026,10,7)),1,0)</x:f>
        <x:v>0</x:v>
      </x:c>
      <x:c r="R83" t="n">
        <x:f>IF(AND(B83&gt;=DATE(2026,7,1),B83&lt;=DATE(2026,9,30),G83&gt;DATE(2026,10,7)),1,0)</x:f>
        <x:v>0</x:v>
      </x:c>
      <x:c r="S83" t="n">
        <x:f>IF(AND(M83=1,J83&lt;&gt;"Ninguna"),1,0)</x:f>
        <x:v>0</x:v>
      </x:c>
    </x:row>
    <x:row r="84">
      <x:c r="A84" t="str">
        <x:v>PED-0083</x:v>
      </x:c>
      <x:c r="B84" s="12" t="n">
        <x:v>46213</x:v>
      </x:c>
      <x:c r="C84" t="str">
        <x:v>ElectraSupply</x:v>
      </x:c>
      <x:c r="D84" t="str">
        <x:v>Componentes eléctricos</x:v>
      </x:c>
      <x:c r="E84" s="10" t="n">
        <x:v>8670.18</x:v>
      </x:c>
      <x:c r="F84" s="12" t="n">
        <x:v>46226</x:v>
      </x:c>
      <x:c r="G84" s="12" t="n">
        <x:v>46230</x:v>
      </x:c>
      <x:c r="H84" t="n">
        <x:v>171</x:v>
      </x:c>
      <x:c r="I84" t="n">
        <x:v>0</x:v>
      </x:c>
      <x:c r="J84" t="str">
        <x:v>Ninguna</x:v>
      </x:c>
      <x:c r="K84" t="str">
        <x:v>No</x:v>
      </x:c>
      <x:c r="L84" t="str">
        <x:v>Valencia</x:v>
      </x:c>
      <x:c r="M84" t="n">
        <x:f>IF(AND(B84&gt;=DATE(2026,7,1),B84&lt;=DATE(2026,9,30),G84&gt;=DATE(2026,7,1),G84&lt;=DATE(2026,9,30)),1,0)</x:f>
        <x:v>1</x:v>
      </x:c>
      <x:c r="N84" t="n">
        <x:f>IF(M84=1,IF(G84&lt;=F84,1,0),0)</x:f>
        <x:v>0</x:v>
      </x:c>
      <x:c r="O84" t="n">
        <x:f>IF(AND(M84=1,K84="Sí",G84&gt;F84),1,0)</x:f>
        <x:v>0</x:v>
      </x:c>
      <x:c r="P84" t="n">
        <x:f>IF(AND(M84=1,I84&gt;0),1,0)</x:f>
        <x:v>0</x:v>
      </x:c>
      <x:c r="Q84" t="n">
        <x:f>IF(AND(B84&gt;=DATE(2026,7,1),B84&lt;=DATE(2026,9,30),G84&gt;=DATE(2026,10,1),G84&lt;=DATE(2026,10,7)),1,0)</x:f>
        <x:v>0</x:v>
      </x:c>
      <x:c r="R84" t="n">
        <x:f>IF(AND(B84&gt;=DATE(2026,7,1),B84&lt;=DATE(2026,9,30),G84&gt;DATE(2026,10,7)),1,0)</x:f>
        <x:v>0</x:v>
      </x:c>
      <x:c r="S84" t="n">
        <x:f>IF(AND(M84=1,J84&lt;&gt;"Ninguna"),1,0)</x:f>
        <x:v>0</x:v>
      </x:c>
    </x:row>
    <x:row r="85">
      <x:c r="A85" t="str">
        <x:v>PED-0084</x:v>
      </x:c>
      <x:c r="B85" s="12" t="n">
        <x:v>46217</x:v>
      </x:c>
      <x:c r="C85" t="str">
        <x:v>OfiPlus</x:v>
      </x:c>
      <x:c r="D85" t="str">
        <x:v>Consumibles</x:v>
      </x:c>
      <x:c r="E85" s="10" t="n">
        <x:v>1192.37</x:v>
      </x:c>
      <x:c r="F85" s="12" t="n">
        <x:v>46221</x:v>
      </x:c>
      <x:c r="G85" s="12" t="n">
        <x:v>46221</x:v>
      </x:c>
      <x:c r="H85" t="n">
        <x:v>83</x:v>
      </x:c>
      <x:c r="I85" t="n">
        <x:v>0</x:v>
      </x:c>
      <x:c r="J85" t="str">
        <x:v>Ninguna</x:v>
      </x:c>
      <x:c r="K85" t="str">
        <x:v>Sí</x:v>
      </x:c>
      <x:c r="L85" t="str">
        <x:v>Valencia</x:v>
      </x:c>
      <x:c r="M85" t="n">
        <x:f>IF(AND(B85&gt;=DATE(2026,7,1),B85&lt;=DATE(2026,9,30),G85&gt;=DATE(2026,7,1),G85&lt;=DATE(2026,9,30)),1,0)</x:f>
        <x:v>1</x:v>
      </x:c>
      <x:c r="N85" t="n">
        <x:f>IF(M85=1,IF(G85&lt;=F85,1,0),0)</x:f>
        <x:v>1</x:v>
      </x:c>
      <x:c r="O85" t="n">
        <x:f>IF(AND(M85=1,K85="Sí",G85&gt;F85),1,0)</x:f>
        <x:v>0</x:v>
      </x:c>
      <x:c r="P85" t="n">
        <x:f>IF(AND(M85=1,I85&gt;0),1,0)</x:f>
        <x:v>0</x:v>
      </x:c>
      <x:c r="Q85" t="n">
        <x:f>IF(AND(B85&gt;=DATE(2026,7,1),B85&lt;=DATE(2026,9,30),G85&gt;=DATE(2026,10,1),G85&lt;=DATE(2026,10,7)),1,0)</x:f>
        <x:v>0</x:v>
      </x:c>
      <x:c r="R85" t="n">
        <x:f>IF(AND(B85&gt;=DATE(2026,7,1),B85&lt;=DATE(2026,9,30),G85&gt;DATE(2026,10,7)),1,0)</x:f>
        <x:v>0</x:v>
      </x:c>
      <x:c r="S85" t="n">
        <x:f>IF(AND(M85=1,J85&lt;&gt;"Ninguna"),1,0)</x:f>
        <x:v>0</x:v>
      </x:c>
    </x:row>
    <x:row r="86">
      <x:c r="A86" t="str">
        <x:v>PED-0085</x:v>
      </x:c>
      <x:c r="B86" s="12" t="n">
        <x:v>46258</x:v>
      </x:c>
      <x:c r="C86" t="str">
        <x:v>OfiPlus</x:v>
      </x:c>
      <x:c r="D86" t="str">
        <x:v>Consumibles</x:v>
      </x:c>
      <x:c r="E86" s="10" t="n">
        <x:v>5163.98</x:v>
      </x:c>
      <x:c r="F86" s="12" t="n">
        <x:v>46263</x:v>
      </x:c>
      <x:c r="G86" s="12" t="n">
        <x:v>46261</x:v>
      </x:c>
      <x:c r="H86" t="n">
        <x:v>252</x:v>
      </x:c>
      <x:c r="I86" t="n">
        <x:v>0</x:v>
      </x:c>
      <x:c r="J86" t="str">
        <x:v>Ninguna</x:v>
      </x:c>
      <x:c r="K86" t="str">
        <x:v>No</x:v>
      </x:c>
      <x:c r="L86" t="str">
        <x:v>Zaragoza</x:v>
      </x:c>
      <x:c r="M86" t="n">
        <x:f>IF(AND(B86&gt;=DATE(2026,7,1),B86&lt;=DATE(2026,9,30),G86&gt;=DATE(2026,7,1),G86&lt;=DATE(2026,9,30)),1,0)</x:f>
        <x:v>1</x:v>
      </x:c>
      <x:c r="N86" t="n">
        <x:f>IF(M86=1,IF(G86&lt;=F86,1,0),0)</x:f>
        <x:v>1</x:v>
      </x:c>
      <x:c r="O86" t="n">
        <x:f>IF(AND(M86=1,K86="Sí",G86&gt;F86),1,0)</x:f>
        <x:v>0</x:v>
      </x:c>
      <x:c r="P86" t="n">
        <x:f>IF(AND(M86=1,I86&gt;0),1,0)</x:f>
        <x:v>0</x:v>
      </x:c>
      <x:c r="Q86" t="n">
        <x:f>IF(AND(B86&gt;=DATE(2026,7,1),B86&lt;=DATE(2026,9,30),G86&gt;=DATE(2026,10,1),G86&lt;=DATE(2026,10,7)),1,0)</x:f>
        <x:v>0</x:v>
      </x:c>
      <x:c r="R86" t="n">
        <x:f>IF(AND(B86&gt;=DATE(2026,7,1),B86&lt;=DATE(2026,9,30),G86&gt;DATE(2026,10,7)),1,0)</x:f>
        <x:v>0</x:v>
      </x:c>
      <x:c r="S86" t="n">
        <x:f>IF(AND(M86=1,J86&lt;&gt;"Ninguna"),1,0)</x:f>
        <x:v>0</x:v>
      </x:c>
    </x:row>
    <x:row r="87">
      <x:c r="A87" t="str">
        <x:v>PED-0086</x:v>
      </x:c>
      <x:c r="B87" s="12" t="n">
        <x:v>46287</x:v>
      </x:c>
      <x:c r="C87" t="str">
        <x:v>MetalNova</x:v>
      </x:c>
      <x:c r="D87" t="str">
        <x:v>Componentes mecánicos</x:v>
      </x:c>
      <x:c r="E87" s="10" t="n">
        <x:v>13811.25</x:v>
      </x:c>
      <x:c r="F87" s="12" t="n">
        <x:v>46296</x:v>
      </x:c>
      <x:c r="G87" s="12" t="n">
        <x:v>46297</x:v>
      </x:c>
      <x:c r="H87" t="n">
        <x:v>339</x:v>
      </x:c>
      <x:c r="I87" t="n">
        <x:v>0</x:v>
      </x:c>
      <x:c r="J87" t="str">
        <x:v>Ninguna</x:v>
      </x:c>
      <x:c r="K87" t="str">
        <x:v>No</x:v>
      </x:c>
      <x:c r="L87" t="str">
        <x:v>Valencia</x:v>
      </x:c>
      <x:c r="M87" t="n">
        <x:f>IF(AND(B87&gt;=DATE(2026,7,1),B87&lt;=DATE(2026,9,30),G87&gt;=DATE(2026,7,1),G87&lt;=DATE(2026,9,30)),1,0)</x:f>
        <x:v>0</x:v>
      </x:c>
      <x:c r="N87" t="n">
        <x:f>IF(M87=1,IF(G87&lt;=F87,1,0),0)</x:f>
        <x:v>0</x:v>
      </x:c>
      <x:c r="O87" t="n">
        <x:f>IF(AND(M87=1,K87="Sí",G87&gt;F87),1,0)</x:f>
        <x:v>0</x:v>
      </x:c>
      <x:c r="P87" t="n">
        <x:f>IF(AND(M87=1,I87&gt;0),1,0)</x:f>
        <x:v>0</x:v>
      </x:c>
      <x:c r="Q87" t="n">
        <x:f>IF(AND(B87&gt;=DATE(2026,7,1),B87&lt;=DATE(2026,9,30),G87&gt;=DATE(2026,10,1),G87&lt;=DATE(2026,10,7)),1,0)</x:f>
        <x:v>1</x:v>
      </x:c>
      <x:c r="R87" t="n">
        <x:f>IF(AND(B87&gt;=DATE(2026,7,1),B87&lt;=DATE(2026,9,30),G87&gt;DATE(2026,10,7)),1,0)</x:f>
        <x:v>0</x:v>
      </x:c>
      <x:c r="S87" t="n">
        <x:f>IF(AND(M87=1,J87&lt;&gt;"Ninguna"),1,0)</x:f>
        <x:v>0</x:v>
      </x:c>
    </x:row>
    <x:row r="88">
      <x:c r="A88" t="str">
        <x:v>PED-0087</x:v>
      </x:c>
      <x:c r="B88" s="12" t="n">
        <x:v>46272</x:v>
      </x:c>
      <x:c r="C88" t="str">
        <x:v>MecaParts</x:v>
      </x:c>
      <x:c r="D88" t="str">
        <x:v>Componentes mecánicos</x:v>
      </x:c>
      <x:c r="E88" s="10" t="n">
        <x:v>5659.02</x:v>
      </x:c>
      <x:c r="F88" s="12" t="n">
        <x:v>46283</x:v>
      </x:c>
      <x:c r="G88" s="12" t="n">
        <x:v>46287</x:v>
      </x:c>
      <x:c r="H88" t="n">
        <x:v>171</x:v>
      </x:c>
      <x:c r="I88" t="n">
        <x:v>0</x:v>
      </x:c>
      <x:c r="J88" t="str">
        <x:v>Ninguna</x:v>
      </x:c>
      <x:c r="K88" t="str">
        <x:v>Sí</x:v>
      </x:c>
      <x:c r="L88" t="str">
        <x:v>Zaragoza</x:v>
      </x:c>
      <x:c r="M88" t="n">
        <x:f>IF(AND(B88&gt;=DATE(2026,7,1),B88&lt;=DATE(2026,9,30),G88&gt;=DATE(2026,7,1),G88&lt;=DATE(2026,9,30)),1,0)</x:f>
        <x:v>1</x:v>
      </x:c>
      <x:c r="N88" t="n">
        <x:f>IF(M88=1,IF(G88&lt;=F88,1,0),0)</x:f>
        <x:v>0</x:v>
      </x:c>
      <x:c r="O88" t="n">
        <x:f>IF(AND(M88=1,K88="Sí",G88&gt;F88),1,0)</x:f>
        <x:v>1</x:v>
      </x:c>
      <x:c r="P88" t="n">
        <x:f>IF(AND(M88=1,I88&gt;0),1,0)</x:f>
        <x:v>0</x:v>
      </x:c>
      <x:c r="Q88" t="n">
        <x:f>IF(AND(B88&gt;=DATE(2026,7,1),B88&lt;=DATE(2026,9,30),G88&gt;=DATE(2026,10,1),G88&lt;=DATE(2026,10,7)),1,0)</x:f>
        <x:v>0</x:v>
      </x:c>
      <x:c r="R88" t="n">
        <x:f>IF(AND(B88&gt;=DATE(2026,7,1),B88&lt;=DATE(2026,9,30),G88&gt;DATE(2026,10,7)),1,0)</x:f>
        <x:v>0</x:v>
      </x:c>
      <x:c r="S88" t="n">
        <x:f>IF(AND(M88=1,J88&lt;&gt;"Ninguna"),1,0)</x:f>
        <x:v>0</x:v>
      </x:c>
    </x:row>
    <x:row r="89">
      <x:c r="A89" t="str">
        <x:v>PED-0088</x:v>
      </x:c>
      <x:c r="B89" s="12" t="n">
        <x:v>46288</x:v>
      </x:c>
      <x:c r="C89" t="str">
        <x:v>MecaParts</x:v>
      </x:c>
      <x:c r="D89" t="str">
        <x:v>Componentes mecánicos</x:v>
      </x:c>
      <x:c r="E89" s="10" t="n">
        <x:v>557.4</x:v>
      </x:c>
      <x:c r="F89" s="12" t="n">
        <x:v>46298</x:v>
      </x:c>
      <x:c r="G89" s="12" t="n">
        <x:v>46300</x:v>
      </x:c>
      <x:c r="H89" t="n">
        <x:v>42</x:v>
      </x:c>
      <x:c r="I89" t="n">
        <x:v>0</x:v>
      </x:c>
      <x:c r="J89" t="str">
        <x:v>Ninguna</x:v>
      </x:c>
      <x:c r="K89" t="str">
        <x:v>No</x:v>
      </x:c>
      <x:c r="L89" t="str">
        <x:v>Barcelona</x:v>
      </x:c>
      <x:c r="M89" t="n">
        <x:f>IF(AND(B89&gt;=DATE(2026,7,1),B89&lt;=DATE(2026,9,30),G89&gt;=DATE(2026,7,1),G89&lt;=DATE(2026,9,30)),1,0)</x:f>
        <x:v>0</x:v>
      </x:c>
      <x:c r="N89" t="n">
        <x:f>IF(M89=1,IF(G89&lt;=F89,1,0),0)</x:f>
        <x:v>0</x:v>
      </x:c>
      <x:c r="O89" t="n">
        <x:f>IF(AND(M89=1,K89="Sí",G89&gt;F89),1,0)</x:f>
        <x:v>0</x:v>
      </x:c>
      <x:c r="P89" t="n">
        <x:f>IF(AND(M89=1,I89&gt;0),1,0)</x:f>
        <x:v>0</x:v>
      </x:c>
      <x:c r="Q89" t="n">
        <x:f>IF(AND(B89&gt;=DATE(2026,7,1),B89&lt;=DATE(2026,9,30),G89&gt;=DATE(2026,10,1),G89&lt;=DATE(2026,10,7)),1,0)</x:f>
        <x:v>1</x:v>
      </x:c>
      <x:c r="R89" t="n">
        <x:f>IF(AND(B89&gt;=DATE(2026,7,1),B89&lt;=DATE(2026,9,30),G89&gt;DATE(2026,10,7)),1,0)</x:f>
        <x:v>0</x:v>
      </x:c>
      <x:c r="S89" t="n">
        <x:f>IF(AND(M89=1,J89&lt;&gt;"Ninguna"),1,0)</x:f>
        <x:v>0</x:v>
      </x:c>
    </x:row>
    <x:row r="90">
      <x:c r="A90" t="str">
        <x:v>PED-0089</x:v>
      </x:c>
      <x:c r="B90" s="12" t="n">
        <x:v>46293</x:v>
      </x:c>
      <x:c r="C90" t="str">
        <x:v>OfiPlus</x:v>
      </x:c>
      <x:c r="D90" t="str">
        <x:v>Consumibles</x:v>
      </x:c>
      <x:c r="E90" s="10" t="n">
        <x:v>3307.59</x:v>
      </x:c>
      <x:c r="F90" s="12" t="n">
        <x:v>46297</x:v>
      </x:c>
      <x:c r="G90" s="12" t="n">
        <x:v>46300</x:v>
      </x:c>
      <x:c r="H90" t="n">
        <x:v>168</x:v>
      </x:c>
      <x:c r="I90" t="n">
        <x:v>0</x:v>
      </x:c>
      <x:c r="J90" t="str">
        <x:v>Ninguna</x:v>
      </x:c>
      <x:c r="K90" t="str">
        <x:v>No</x:v>
      </x:c>
      <x:c r="L90" t="str">
        <x:v>Zaragoza</x:v>
      </x:c>
      <x:c r="M90" t="n">
        <x:f>IF(AND(B90&gt;=DATE(2026,7,1),B90&lt;=DATE(2026,9,30),G90&gt;=DATE(2026,7,1),G90&lt;=DATE(2026,9,30)),1,0)</x:f>
        <x:v>0</x:v>
      </x:c>
      <x:c r="N90" t="n">
        <x:f>IF(M90=1,IF(G90&lt;=F90,1,0),0)</x:f>
        <x:v>0</x:v>
      </x:c>
      <x:c r="O90" t="n">
        <x:f>IF(AND(M90=1,K90="Sí",G90&gt;F90),1,0)</x:f>
        <x:v>0</x:v>
      </x:c>
      <x:c r="P90" t="n">
        <x:f>IF(AND(M90=1,I90&gt;0),1,0)</x:f>
        <x:v>0</x:v>
      </x:c>
      <x:c r="Q90" t="n">
        <x:f>IF(AND(B90&gt;=DATE(2026,7,1),B90&lt;=DATE(2026,9,30),G90&gt;=DATE(2026,10,1),G90&lt;=DATE(2026,10,7)),1,0)</x:f>
        <x:v>1</x:v>
      </x:c>
      <x:c r="R90" t="n">
        <x:f>IF(AND(B90&gt;=DATE(2026,7,1),B90&lt;=DATE(2026,9,30),G90&gt;DATE(2026,10,7)),1,0)</x:f>
        <x:v>0</x:v>
      </x:c>
      <x:c r="S90" t="n">
        <x:f>IF(AND(M90=1,J90&lt;&gt;"Ninguna"),1,0)</x:f>
        <x:v>0</x:v>
      </x:c>
    </x:row>
    <x:row r="91">
      <x:c r="A91" t="str">
        <x:v>PED-0090</x:v>
      </x:c>
      <x:c r="B91" s="12" t="n">
        <x:v>46227</x:v>
      </x:c>
      <x:c r="C91" t="str">
        <x:v>PackPro</x:v>
      </x:c>
      <x:c r="D91" t="str">
        <x:v>Embalaje</x:v>
      </x:c>
      <x:c r="E91" s="10" t="n">
        <x:v>3395.88</x:v>
      </x:c>
      <x:c r="F91" s="12" t="n">
        <x:v>46233</x:v>
      </x:c>
      <x:c r="G91" s="12" t="n">
        <x:v>46231</x:v>
      </x:c>
      <x:c r="H91" t="n">
        <x:v>224</x:v>
      </x:c>
      <x:c r="I91" t="n">
        <x:v>16</x:v>
      </x:c>
      <x:c r="J91" t="str">
        <x:v>Calidad</x:v>
      </x:c>
      <x:c r="K91" t="str">
        <x:v>No</x:v>
      </x:c>
      <x:c r="L91" t="str">
        <x:v>Valencia</x:v>
      </x:c>
      <x:c r="M91" t="n">
        <x:f>IF(AND(B91&gt;=DATE(2026,7,1),B91&lt;=DATE(2026,9,30),G91&gt;=DATE(2026,7,1),G91&lt;=DATE(2026,9,30)),1,0)</x:f>
        <x:v>1</x:v>
      </x:c>
      <x:c r="N91" t="n">
        <x:f>IF(M91=1,IF(G91&lt;=F91,1,0),0)</x:f>
        <x:v>1</x:v>
      </x:c>
      <x:c r="O91" t="n">
        <x:f>IF(AND(M91=1,K91="Sí",G91&gt;F91),1,0)</x:f>
        <x:v>0</x:v>
      </x:c>
      <x:c r="P91" t="n">
        <x:f>IF(AND(M91=1,I91&gt;0),1,0)</x:f>
        <x:v>1</x:v>
      </x:c>
      <x:c r="Q91" t="n">
        <x:f>IF(AND(B91&gt;=DATE(2026,7,1),B91&lt;=DATE(2026,9,30),G91&gt;=DATE(2026,10,1),G91&lt;=DATE(2026,10,7)),1,0)</x:f>
        <x:v>0</x:v>
      </x:c>
      <x:c r="R91" t="n">
        <x:f>IF(AND(B91&gt;=DATE(2026,7,1),B91&lt;=DATE(2026,9,30),G91&gt;DATE(2026,10,7)),1,0)</x:f>
        <x:v>0</x:v>
      </x:c>
      <x:c r="S91" t="n">
        <x:f>IF(AND(M91=1,J91&lt;&gt;"Ninguna"),1,0)</x:f>
        <x:v>1</x:v>
      </x:c>
    </x:row>
    <x:row r="92">
      <x:c r="A92" t="str">
        <x:v>PED-0091</x:v>
      </x:c>
      <x:c r="B92" s="12" t="n">
        <x:v>46206</x:v>
      </x:c>
      <x:c r="C92" t="str">
        <x:v>MetalNova</x:v>
      </x:c>
      <x:c r="D92" t="str">
        <x:v>Componentes mecánicos</x:v>
      </x:c>
      <x:c r="E92" s="10" t="n">
        <x:v>12938.85</x:v>
      </x:c>
      <x:c r="F92" s="12" t="n">
        <x:v>46216</x:v>
      </x:c>
      <x:c r="G92" s="12" t="n">
        <x:v>46217</x:v>
      </x:c>
      <x:c r="H92" t="n">
        <x:v>363</x:v>
      </x:c>
      <x:c r="I92" t="n">
        <x:v>0</x:v>
      </x:c>
      <x:c r="J92" t="str">
        <x:v>Ninguna</x:v>
      </x:c>
      <x:c r="K92" t="str">
        <x:v>No</x:v>
      </x:c>
      <x:c r="L92" t="str">
        <x:v>Barcelona</x:v>
      </x:c>
      <x:c r="M92" t="n">
        <x:f>IF(AND(B92&gt;=DATE(2026,7,1),B92&lt;=DATE(2026,9,30),G92&gt;=DATE(2026,7,1),G92&lt;=DATE(2026,9,30)),1,0)</x:f>
        <x:v>1</x:v>
      </x:c>
      <x:c r="N92" t="n">
        <x:f>IF(M92=1,IF(G92&lt;=F92,1,0),0)</x:f>
        <x:v>0</x:v>
      </x:c>
      <x:c r="O92" t="n">
        <x:f>IF(AND(M92=1,K92="Sí",G92&gt;F92),1,0)</x:f>
        <x:v>0</x:v>
      </x:c>
      <x:c r="P92" t="n">
        <x:f>IF(AND(M92=1,I92&gt;0),1,0)</x:f>
        <x:v>0</x:v>
      </x:c>
      <x:c r="Q92" t="n">
        <x:f>IF(AND(B92&gt;=DATE(2026,7,1),B92&lt;=DATE(2026,9,30),G92&gt;=DATE(2026,10,1),G92&lt;=DATE(2026,10,7)),1,0)</x:f>
        <x:v>0</x:v>
      </x:c>
      <x:c r="R92" t="n">
        <x:f>IF(AND(B92&gt;=DATE(2026,7,1),B92&lt;=DATE(2026,9,30),G92&gt;DATE(2026,10,7)),1,0)</x:f>
        <x:v>0</x:v>
      </x:c>
      <x:c r="S92" t="n">
        <x:f>IF(AND(M92=1,J92&lt;&gt;"Ninguna"),1,0)</x:f>
        <x:v>0</x:v>
      </x:c>
    </x:row>
    <x:row r="93">
      <x:c r="A93" t="str">
        <x:v>PED-0092</x:v>
      </x:c>
      <x:c r="B93" s="12" t="n">
        <x:v>46286</x:v>
      </x:c>
      <x:c r="C93" t="str">
        <x:v>ElectraSupply</x:v>
      </x:c>
      <x:c r="D93" t="str">
        <x:v>Componentes eléctricos</x:v>
      </x:c>
      <x:c r="E93" s="10" t="n">
        <x:v>8357.21</x:v>
      </x:c>
      <x:c r="F93" s="12" t="n">
        <x:v>46297</x:v>
      </x:c>
      <x:c r="G93" s="12" t="n">
        <x:v>46310</x:v>
      </x:c>
      <x:c r="H93" t="n">
        <x:v>169</x:v>
      </x:c>
      <x:c r="I93" t="n">
        <x:v>0</x:v>
      </x:c>
      <x:c r="J93" t="str">
        <x:v>Retraso</x:v>
      </x:c>
      <x:c r="K93" t="str">
        <x:v>No</x:v>
      </x:c>
      <x:c r="L93" t="str">
        <x:v>Barcelona</x:v>
      </x:c>
      <x:c r="M93" t="n">
        <x:f>IF(AND(B93&gt;=DATE(2026,7,1),B93&lt;=DATE(2026,9,30),G93&gt;=DATE(2026,7,1),G93&lt;=DATE(2026,9,30)),1,0)</x:f>
        <x:v>0</x:v>
      </x:c>
      <x:c r="N93" t="n">
        <x:f>IF(M93=1,IF(G93&lt;=F93,1,0),0)</x:f>
        <x:v>0</x:v>
      </x:c>
      <x:c r="O93" t="n">
        <x:f>IF(AND(M93=1,K93="Sí",G93&gt;F93),1,0)</x:f>
        <x:v>0</x:v>
      </x:c>
      <x:c r="P93" t="n">
        <x:f>IF(AND(M93=1,I93&gt;0),1,0)</x:f>
        <x:v>0</x:v>
      </x:c>
      <x:c r="Q93" t="n">
        <x:f>IF(AND(B93&gt;=DATE(2026,7,1),B93&lt;=DATE(2026,9,30),G93&gt;=DATE(2026,10,1),G93&lt;=DATE(2026,10,7)),1,0)</x:f>
        <x:v>0</x:v>
      </x:c>
      <x:c r="R93" t="n">
        <x:f>IF(AND(B93&gt;=DATE(2026,7,1),B93&lt;=DATE(2026,9,30),G93&gt;DATE(2026,10,7)),1,0)</x:f>
        <x:v>1</x:v>
      </x:c>
      <x:c r="S93" t="n">
        <x:f>IF(AND(M93=1,J93&lt;&gt;"Ninguna"),1,0)</x:f>
        <x:v>0</x:v>
      </x:c>
    </x:row>
    <x:row r="94">
      <x:c r="A94" t="str">
        <x:v>PED-0093</x:v>
      </x:c>
      <x:c r="B94" s="12" t="n">
        <x:v>46237</x:v>
      </x:c>
      <x:c r="C94" t="str">
        <x:v>PackPro</x:v>
      </x:c>
      <x:c r="D94" t="str">
        <x:v>Embalaje</x:v>
      </x:c>
      <x:c r="E94" s="10" t="n">
        <x:v>8466.67</x:v>
      </x:c>
      <x:c r="F94" s="12" t="n">
        <x:v>46243</x:v>
      </x:c>
      <x:c r="G94" s="12" t="n">
        <x:v>46244</x:v>
      </x:c>
      <x:c r="H94" t="n">
        <x:v>238</x:v>
      </x:c>
      <x:c r="I94" t="n">
        <x:v>0</x:v>
      </x:c>
      <x:c r="J94" t="str">
        <x:v>Documentación</x:v>
      </x:c>
      <x:c r="K94" t="str">
        <x:v>No</x:v>
      </x:c>
      <x:c r="L94" t="str">
        <x:v>Zaragoza</x:v>
      </x:c>
      <x:c r="M94" t="n">
        <x:f>IF(AND(B94&gt;=DATE(2026,7,1),B94&lt;=DATE(2026,9,30),G94&gt;=DATE(2026,7,1),G94&lt;=DATE(2026,9,30)),1,0)</x:f>
        <x:v>1</x:v>
      </x:c>
      <x:c r="N94" t="n">
        <x:f>IF(M94=1,IF(G94&lt;=F94,1,0),0)</x:f>
        <x:v>0</x:v>
      </x:c>
      <x:c r="O94" t="n">
        <x:f>IF(AND(M94=1,K94="Sí",G94&gt;F94),1,0)</x:f>
        <x:v>0</x:v>
      </x:c>
      <x:c r="P94" t="n">
        <x:f>IF(AND(M94=1,I94&gt;0),1,0)</x:f>
        <x:v>0</x:v>
      </x:c>
      <x:c r="Q94" t="n">
        <x:f>IF(AND(B94&gt;=DATE(2026,7,1),B94&lt;=DATE(2026,9,30),G94&gt;=DATE(2026,10,1),G94&lt;=DATE(2026,10,7)),1,0)</x:f>
        <x:v>0</x:v>
      </x:c>
      <x:c r="R94" t="n">
        <x:f>IF(AND(B94&gt;=DATE(2026,7,1),B94&lt;=DATE(2026,9,30),G94&gt;DATE(2026,10,7)),1,0)</x:f>
        <x:v>0</x:v>
      </x:c>
      <x:c r="S94" t="n">
        <x:f>IF(AND(M94=1,J94&lt;&gt;"Ninguna"),1,0)</x:f>
        <x:v>1</x:v>
      </x:c>
    </x:row>
    <x:row r="95">
      <x:c r="A95" t="str">
        <x:v>PED-0094</x:v>
      </x:c>
      <x:c r="B95" s="12" t="n">
        <x:v>46289</x:v>
      </x:c>
      <x:c r="C95" t="str">
        <x:v>MetalNova</x:v>
      </x:c>
      <x:c r="D95" t="str">
        <x:v>Componentes mecánicos</x:v>
      </x:c>
      <x:c r="E95" s="10" t="n">
        <x:v>1546.65</x:v>
      </x:c>
      <x:c r="F95" s="12" t="n">
        <x:v>46298</x:v>
      </x:c>
      <x:c r="G95" s="12" t="n">
        <x:v>46299</x:v>
      </x:c>
      <x:c r="H95" t="n">
        <x:v>258</x:v>
      </x:c>
      <x:c r="I95" t="n">
        <x:v>0</x:v>
      </x:c>
      <x:c r="J95" t="str">
        <x:v>Retraso</x:v>
      </x:c>
      <x:c r="K95" t="str">
        <x:v>No</x:v>
      </x:c>
      <x:c r="L95" t="str">
        <x:v>Barcelona</x:v>
      </x:c>
      <x:c r="M95" t="n">
        <x:f>IF(AND(B95&gt;=DATE(2026,7,1),B95&lt;=DATE(2026,9,30),G95&gt;=DATE(2026,7,1),G95&lt;=DATE(2026,9,30)),1,0)</x:f>
        <x:v>0</x:v>
      </x:c>
      <x:c r="N95" t="n">
        <x:f>IF(M95=1,IF(G95&lt;=F95,1,0),0)</x:f>
        <x:v>0</x:v>
      </x:c>
      <x:c r="O95" t="n">
        <x:f>IF(AND(M95=1,K95="Sí",G95&gt;F95),1,0)</x:f>
        <x:v>0</x:v>
      </x:c>
      <x:c r="P95" t="n">
        <x:f>IF(AND(M95=1,I95&gt;0),1,0)</x:f>
        <x:v>0</x:v>
      </x:c>
      <x:c r="Q95" t="n">
        <x:f>IF(AND(B95&gt;=DATE(2026,7,1),B95&lt;=DATE(2026,9,30),G95&gt;=DATE(2026,10,1),G95&lt;=DATE(2026,10,7)),1,0)</x:f>
        <x:v>1</x:v>
      </x:c>
      <x:c r="R95" t="n">
        <x:f>IF(AND(B95&gt;=DATE(2026,7,1),B95&lt;=DATE(2026,9,30),G95&gt;DATE(2026,10,7)),1,0)</x:f>
        <x:v>0</x:v>
      </x:c>
      <x:c r="S95" t="n">
        <x:f>IF(AND(M95=1,J95&lt;&gt;"Ninguna"),1,0)</x:f>
        <x:v>0</x:v>
      </x:c>
    </x:row>
    <x:row r="96">
      <x:c r="A96" t="str">
        <x:v>PED-0095</x:v>
      </x:c>
      <x:c r="B96" s="12" t="n">
        <x:v>46224</x:v>
      </x:c>
      <x:c r="C96" t="str">
        <x:v>ElectraSupply</x:v>
      </x:c>
      <x:c r="D96" t="str">
        <x:v>Componentes eléctricos</x:v>
      </x:c>
      <x:c r="E96" s="10" t="n">
        <x:v>7672.84</x:v>
      </x:c>
      <x:c r="F96" s="12" t="n">
        <x:v>46236</x:v>
      </x:c>
      <x:c r="G96" s="12" t="n">
        <x:v>46238</x:v>
      </x:c>
      <x:c r="H96" t="n">
        <x:v>152</x:v>
      </x:c>
      <x:c r="I96" t="n">
        <x:v>0</x:v>
      </x:c>
      <x:c r="J96" t="str">
        <x:v>Ninguna</x:v>
      </x:c>
      <x:c r="K96" t="str">
        <x:v>No</x:v>
      </x:c>
      <x:c r="L96" t="str">
        <x:v>Valencia</x:v>
      </x:c>
      <x:c r="M96" t="n">
        <x:f>IF(AND(B96&gt;=DATE(2026,7,1),B96&lt;=DATE(2026,9,30),G96&gt;=DATE(2026,7,1),G96&lt;=DATE(2026,9,30)),1,0)</x:f>
        <x:v>1</x:v>
      </x:c>
      <x:c r="N96" t="n">
        <x:f>IF(M96=1,IF(G96&lt;=F96,1,0),0)</x:f>
        <x:v>0</x:v>
      </x:c>
      <x:c r="O96" t="n">
        <x:f>IF(AND(M96=1,K96="Sí",G96&gt;F96),1,0)</x:f>
        <x:v>0</x:v>
      </x:c>
      <x:c r="P96" t="n">
        <x:f>IF(AND(M96=1,I96&gt;0),1,0)</x:f>
        <x:v>0</x:v>
      </x:c>
      <x:c r="Q96" t="n">
        <x:f>IF(AND(B96&gt;=DATE(2026,7,1),B96&lt;=DATE(2026,9,30),G96&gt;=DATE(2026,10,1),G96&lt;=DATE(2026,10,7)),1,0)</x:f>
        <x:v>0</x:v>
      </x:c>
      <x:c r="R96" t="n">
        <x:f>IF(AND(B96&gt;=DATE(2026,7,1),B96&lt;=DATE(2026,9,30),G96&gt;DATE(2026,10,7)),1,0)</x:f>
        <x:v>0</x:v>
      </x:c>
      <x:c r="S96" t="n">
        <x:f>IF(AND(M96=1,J96&lt;&gt;"Ninguna"),1,0)</x:f>
        <x:v>0</x:v>
      </x:c>
    </x:row>
    <x:row r="97">
      <x:c r="A97" t="str">
        <x:v>PED-0096</x:v>
      </x:c>
      <x:c r="B97" s="12" t="n">
        <x:v>46215</x:v>
      </x:c>
      <x:c r="C97" t="str">
        <x:v>OfiPlus</x:v>
      </x:c>
      <x:c r="D97" t="str">
        <x:v>Consumibles</x:v>
      </x:c>
      <x:c r="E97" s="10" t="n">
        <x:v>7088.88</x:v>
      </x:c>
      <x:c r="F97" s="12" t="n">
        <x:v>46219</x:v>
      </x:c>
      <x:c r="G97" s="12" t="n">
        <x:v>46225</x:v>
      </x:c>
      <x:c r="H97" t="n">
        <x:v>345</x:v>
      </x:c>
      <x:c r="I97" t="n">
        <x:v>0</x:v>
      </x:c>
      <x:c r="J97" t="str">
        <x:v>Retraso</x:v>
      </x:c>
      <x:c r="K97" t="str">
        <x:v>Sí</x:v>
      </x:c>
      <x:c r="L97" t="str">
        <x:v>Valencia</x:v>
      </x:c>
      <x:c r="M97" t="n">
        <x:f>IF(AND(B97&gt;=DATE(2026,7,1),B97&lt;=DATE(2026,9,30),G97&gt;=DATE(2026,7,1),G97&lt;=DATE(2026,9,30)),1,0)</x:f>
        <x:v>1</x:v>
      </x:c>
      <x:c r="N97" t="n">
        <x:f>IF(M97=1,IF(G97&lt;=F97,1,0),0)</x:f>
        <x:v>0</x:v>
      </x:c>
      <x:c r="O97" t="n">
        <x:f>IF(AND(M97=1,K97="Sí",G97&gt;F97),1,0)</x:f>
        <x:v>1</x:v>
      </x:c>
      <x:c r="P97" t="n">
        <x:f>IF(AND(M97=1,I97&gt;0),1,0)</x:f>
        <x:v>0</x:v>
      </x:c>
      <x:c r="Q97" t="n">
        <x:f>IF(AND(B97&gt;=DATE(2026,7,1),B97&lt;=DATE(2026,9,30),G97&gt;=DATE(2026,10,1),G97&lt;=DATE(2026,10,7)),1,0)</x:f>
        <x:v>0</x:v>
      </x:c>
      <x:c r="R97" t="n">
        <x:f>IF(AND(B97&gt;=DATE(2026,7,1),B97&lt;=DATE(2026,9,30),G97&gt;DATE(2026,10,7)),1,0)</x:f>
        <x:v>0</x:v>
      </x:c>
      <x:c r="S97" t="n">
        <x:f>IF(AND(M97=1,J97&lt;&gt;"Ninguna"),1,0)</x:f>
        <x:v>1</x:v>
      </x:c>
    </x:row>
    <x:row r="98">
      <x:c r="A98" t="str">
        <x:v>PED-0097</x:v>
      </x:c>
      <x:c r="B98" s="12" t="n">
        <x:v>46215</x:v>
      </x:c>
      <x:c r="C98" t="str">
        <x:v>ElectraSupply</x:v>
      </x:c>
      <x:c r="D98" t="str">
        <x:v>Componentes eléctricos</x:v>
      </x:c>
      <x:c r="E98" s="10" t="n">
        <x:v>2706.86</x:v>
      </x:c>
      <x:c r="F98" s="12" t="n">
        <x:v>46227</x:v>
      </x:c>
      <x:c r="G98" s="12" t="n">
        <x:v>46230</x:v>
      </x:c>
      <x:c r="H98" t="n">
        <x:v>155</x:v>
      </x:c>
      <x:c r="I98" t="n">
        <x:v>0</x:v>
      </x:c>
      <x:c r="J98" t="str">
        <x:v>Ninguna</x:v>
      </x:c>
      <x:c r="K98" t="str">
        <x:v>No</x:v>
      </x:c>
      <x:c r="L98" t="str">
        <x:v>Barcelona</x:v>
      </x:c>
      <x:c r="M98" t="n">
        <x:f>IF(AND(B98&gt;=DATE(2026,7,1),B98&lt;=DATE(2026,9,30),G98&gt;=DATE(2026,7,1),G98&lt;=DATE(2026,9,30)),1,0)</x:f>
        <x:v>1</x:v>
      </x:c>
      <x:c r="N98" t="n">
        <x:f>IF(M98=1,IF(G98&lt;=F98,1,0),0)</x:f>
        <x:v>0</x:v>
      </x:c>
      <x:c r="O98" t="n">
        <x:f>IF(AND(M98=1,K98="Sí",G98&gt;F98),1,0)</x:f>
        <x:v>0</x:v>
      </x:c>
      <x:c r="P98" t="n">
        <x:f>IF(AND(M98=1,I98&gt;0),1,0)</x:f>
        <x:v>0</x:v>
      </x:c>
      <x:c r="Q98" t="n">
        <x:f>IF(AND(B98&gt;=DATE(2026,7,1),B98&lt;=DATE(2026,9,30),G98&gt;=DATE(2026,10,1),G98&lt;=DATE(2026,10,7)),1,0)</x:f>
        <x:v>0</x:v>
      </x:c>
      <x:c r="R98" t="n">
        <x:f>IF(AND(B98&gt;=DATE(2026,7,1),B98&lt;=DATE(2026,9,30),G98&gt;DATE(2026,10,7)),1,0)</x:f>
        <x:v>0</x:v>
      </x:c>
      <x:c r="S98" t="n">
        <x:f>IF(AND(M98=1,J98&lt;&gt;"Ninguna"),1,0)</x:f>
        <x:v>0</x:v>
      </x:c>
    </x:row>
    <x:row r="99">
      <x:c r="A99" t="str">
        <x:v>PED-0098</x:v>
      </x:c>
      <x:c r="B99" s="12" t="n">
        <x:v>46209</x:v>
      </x:c>
      <x:c r="C99" t="str">
        <x:v>MecaParts</x:v>
      </x:c>
      <x:c r="D99" t="str">
        <x:v>Componentes mecánicos</x:v>
      </x:c>
      <x:c r="E99" s="10" t="n">
        <x:v>13899.62</x:v>
      </x:c>
      <x:c r="F99" s="12" t="n">
        <x:v>46217</x:v>
      </x:c>
      <x:c r="G99" s="12" t="n">
        <x:v>46216</x:v>
      </x:c>
      <x:c r="H99" t="n">
        <x:v>277</x:v>
      </x:c>
      <x:c r="I99" t="n">
        <x:v>0</x:v>
      </x:c>
      <x:c r="J99" t="str">
        <x:v>Ninguna</x:v>
      </x:c>
      <x:c r="K99" t="str">
        <x:v>No</x:v>
      </x:c>
      <x:c r="L99" t="str">
        <x:v>Zaragoza</x:v>
      </x:c>
      <x:c r="M99" t="n">
        <x:f>IF(AND(B99&gt;=DATE(2026,7,1),B99&lt;=DATE(2026,9,30),G99&gt;=DATE(2026,7,1),G99&lt;=DATE(2026,9,30)),1,0)</x:f>
        <x:v>1</x:v>
      </x:c>
      <x:c r="N99" t="n">
        <x:f>IF(M99=1,IF(G99&lt;=F99,1,0),0)</x:f>
        <x:v>1</x:v>
      </x:c>
      <x:c r="O99" t="n">
        <x:f>IF(AND(M99=1,K99="Sí",G99&gt;F99),1,0)</x:f>
        <x:v>0</x:v>
      </x:c>
      <x:c r="P99" t="n">
        <x:f>IF(AND(M99=1,I99&gt;0),1,0)</x:f>
        <x:v>0</x:v>
      </x:c>
      <x:c r="Q99" t="n">
        <x:f>IF(AND(B99&gt;=DATE(2026,7,1),B99&lt;=DATE(2026,9,30),G99&gt;=DATE(2026,10,1),G99&lt;=DATE(2026,10,7)),1,0)</x:f>
        <x:v>0</x:v>
      </x:c>
      <x:c r="R99" t="n">
        <x:f>IF(AND(B99&gt;=DATE(2026,7,1),B99&lt;=DATE(2026,9,30),G99&gt;DATE(2026,10,7)),1,0)</x:f>
        <x:v>0</x:v>
      </x:c>
      <x:c r="S99" t="n">
        <x:f>IF(AND(M99=1,J99&lt;&gt;"Ninguna"),1,0)</x:f>
        <x:v>0</x:v>
      </x:c>
    </x:row>
    <x:row r="100">
      <x:c r="A100" t="str">
        <x:v>PED-0099</x:v>
      </x:c>
      <x:c r="B100" s="12" t="n">
        <x:v>46240</x:v>
      </x:c>
      <x:c r="C100" t="str">
        <x:v>OfiPlus</x:v>
      </x:c>
      <x:c r="D100" t="str">
        <x:v>Consumibles</x:v>
      </x:c>
      <x:c r="E100" s="10" t="n">
        <x:v>7431.75</x:v>
      </x:c>
      <x:c r="F100" s="12" t="n">
        <x:v>46245</x:v>
      </x:c>
      <x:c r="G100" s="12" t="n">
        <x:v>46247</x:v>
      </x:c>
      <x:c r="H100" t="n">
        <x:v>314</x:v>
      </x:c>
      <x:c r="I100" t="n">
        <x:v>0</x:v>
      </x:c>
      <x:c r="J100" t="str">
        <x:v>Ninguna</x:v>
      </x:c>
      <x:c r="K100" t="str">
        <x:v>No</x:v>
      </x:c>
      <x:c r="L100" t="str">
        <x:v>Zaragoza</x:v>
      </x:c>
      <x:c r="M100" t="n">
        <x:f>IF(AND(B100&gt;=DATE(2026,7,1),B100&lt;=DATE(2026,9,30),G100&gt;=DATE(2026,7,1),G100&lt;=DATE(2026,9,30)),1,0)</x:f>
        <x:v>1</x:v>
      </x:c>
      <x:c r="N100" t="n">
        <x:f>IF(M100=1,IF(G100&lt;=F100,1,0),0)</x:f>
        <x:v>0</x:v>
      </x:c>
      <x:c r="O100" t="n">
        <x:f>IF(AND(M100=1,K100="Sí",G100&gt;F100),1,0)</x:f>
        <x:v>0</x:v>
      </x:c>
      <x:c r="P100" t="n">
        <x:f>IF(AND(M100=1,I100&gt;0),1,0)</x:f>
        <x:v>0</x:v>
      </x:c>
      <x:c r="Q100" t="n">
        <x:f>IF(AND(B100&gt;=DATE(2026,7,1),B100&lt;=DATE(2026,9,30),G100&gt;=DATE(2026,10,1),G100&lt;=DATE(2026,10,7)),1,0)</x:f>
        <x:v>0</x:v>
      </x:c>
      <x:c r="R100" t="n">
        <x:f>IF(AND(B100&gt;=DATE(2026,7,1),B100&lt;=DATE(2026,9,30),G100&gt;DATE(2026,10,7)),1,0)</x:f>
        <x:v>0</x:v>
      </x:c>
      <x:c r="S100" t="n">
        <x:f>IF(AND(M100=1,J100&lt;&gt;"Ninguna"),1,0)</x:f>
        <x:v>0</x:v>
      </x:c>
    </x:row>
    <x:row r="101">
      <x:c r="A101" t="str">
        <x:v>PED-0100</x:v>
      </x:c>
      <x:c r="B101" s="12" t="n">
        <x:v>46213</x:v>
      </x:c>
      <x:c r="C101" t="str">
        <x:v>ElectraSupply</x:v>
      </x:c>
      <x:c r="D101" t="str">
        <x:v>Componentes eléctricos</x:v>
      </x:c>
      <x:c r="E101" s="10" t="n">
        <x:v>6957.24</x:v>
      </x:c>
      <x:c r="F101" s="12" t="n">
        <x:v>46225</x:v>
      </x:c>
      <x:c r="G101" s="12" t="n">
        <x:v>46227</x:v>
      </x:c>
      <x:c r="H101" t="n">
        <x:v>206</x:v>
      </x:c>
      <x:c r="I101" t="n">
        <x:v>0</x:v>
      </x:c>
      <x:c r="J101" t="str">
        <x:v>Ninguna</x:v>
      </x:c>
      <x:c r="K101" t="str">
        <x:v>No</x:v>
      </x:c>
      <x:c r="L101" t="str">
        <x:v>Zaragoza</x:v>
      </x:c>
      <x:c r="M101" t="n">
        <x:f>IF(AND(B101&gt;=DATE(2026,7,1),B101&lt;=DATE(2026,9,30),G101&gt;=DATE(2026,7,1),G101&lt;=DATE(2026,9,30)),1,0)</x:f>
        <x:v>1</x:v>
      </x:c>
      <x:c r="N101" t="n">
        <x:f>IF(M101=1,IF(G101&lt;=F101,1,0),0)</x:f>
        <x:v>0</x:v>
      </x:c>
      <x:c r="O101" t="n">
        <x:f>IF(AND(M101=1,K101="Sí",G101&gt;F101),1,0)</x:f>
        <x:v>0</x:v>
      </x:c>
      <x:c r="P101" t="n">
        <x:f>IF(AND(M101=1,I101&gt;0),1,0)</x:f>
        <x:v>0</x:v>
      </x:c>
      <x:c r="Q101" t="n">
        <x:f>IF(AND(B101&gt;=DATE(2026,7,1),B101&lt;=DATE(2026,9,30),G101&gt;=DATE(2026,10,1),G101&lt;=DATE(2026,10,7)),1,0)</x:f>
        <x:v>0</x:v>
      </x:c>
      <x:c r="R101" t="n">
        <x:f>IF(AND(B101&gt;=DATE(2026,7,1),B101&lt;=DATE(2026,9,30),G101&gt;DATE(2026,10,7)),1,0)</x:f>
        <x:v>0</x:v>
      </x:c>
      <x:c r="S101" t="n">
        <x:f>IF(AND(M101=1,J101&lt;&gt;"Ninguna"),1,0)</x:f>
        <x:v>0</x:v>
      </x:c>
    </x:row>
    <x:row r="102">
      <x:c r="A102" t="str">
        <x:v>PED-0101</x:v>
      </x:c>
      <x:c r="B102" s="12" t="n">
        <x:v>46278</x:v>
      </x:c>
      <x:c r="C102" t="str">
        <x:v>OfiPlus</x:v>
      </x:c>
      <x:c r="D102" t="str">
        <x:v>Consumibles</x:v>
      </x:c>
      <x:c r="E102" s="10" t="n">
        <x:v>8484.75</x:v>
      </x:c>
      <x:c r="F102" s="12" t="n">
        <x:v>46283</x:v>
      </x:c>
      <x:c r="G102" s="12" t="n">
        <x:v>46284</x:v>
      </x:c>
      <x:c r="H102" t="n">
        <x:v>249</x:v>
      </x:c>
      <x:c r="I102" t="n">
        <x:v>0</x:v>
      </x:c>
      <x:c r="J102" t="str">
        <x:v>Ninguna</x:v>
      </x:c>
      <x:c r="K102" t="str">
        <x:v>No</x:v>
      </x:c>
      <x:c r="L102" t="str">
        <x:v>Barcelona</x:v>
      </x:c>
      <x:c r="M102" t="n">
        <x:f>IF(AND(B102&gt;=DATE(2026,7,1),B102&lt;=DATE(2026,9,30),G102&gt;=DATE(2026,7,1),G102&lt;=DATE(2026,9,30)),1,0)</x:f>
        <x:v>1</x:v>
      </x:c>
      <x:c r="N102" t="n">
        <x:f>IF(M102=1,IF(G102&lt;=F102,1,0),0)</x:f>
        <x:v>0</x:v>
      </x:c>
      <x:c r="O102" t="n">
        <x:f>IF(AND(M102=1,K102="Sí",G102&gt;F102),1,0)</x:f>
        <x:v>0</x:v>
      </x:c>
      <x:c r="P102" t="n">
        <x:f>IF(AND(M102=1,I102&gt;0),1,0)</x:f>
        <x:v>0</x:v>
      </x:c>
      <x:c r="Q102" t="n">
        <x:f>IF(AND(B102&gt;=DATE(2026,7,1),B102&lt;=DATE(2026,9,30),G102&gt;=DATE(2026,10,1),G102&lt;=DATE(2026,10,7)),1,0)</x:f>
        <x:v>0</x:v>
      </x:c>
      <x:c r="R102" t="n">
        <x:f>IF(AND(B102&gt;=DATE(2026,7,1),B102&lt;=DATE(2026,9,30),G102&gt;DATE(2026,10,7)),1,0)</x:f>
        <x:v>0</x:v>
      </x:c>
      <x:c r="S102" t="n">
        <x:f>IF(AND(M102=1,J102&lt;&gt;"Ninguna"),1,0)</x:f>
        <x:v>0</x:v>
      </x:c>
    </x:row>
    <x:row r="103">
      <x:c r="A103" t="str">
        <x:v>PED-0102</x:v>
      </x:c>
      <x:c r="B103" s="12" t="n">
        <x:v>46251</x:v>
      </x:c>
      <x:c r="C103" t="str">
        <x:v>ElectraSupply</x:v>
      </x:c>
      <x:c r="D103" t="str">
        <x:v>Componentes eléctricos</x:v>
      </x:c>
      <x:c r="E103" s="10" t="n">
        <x:v>897.26</x:v>
      </x:c>
      <x:c r="F103" s="12" t="n">
        <x:v>46262</x:v>
      </x:c>
      <x:c r="G103" s="12" t="n">
        <x:v>46263</x:v>
      </x:c>
      <x:c r="H103" t="n">
        <x:v>149</x:v>
      </x:c>
      <x:c r="I103" t="n">
        <x:v>0</x:v>
      </x:c>
      <x:c r="J103" t="str">
        <x:v>Ninguna</x:v>
      </x:c>
      <x:c r="K103" t="str">
        <x:v>No</x:v>
      </x:c>
      <x:c r="L103" t="str">
        <x:v>Zaragoza</x:v>
      </x:c>
      <x:c r="M103" t="n">
        <x:f>IF(AND(B103&gt;=DATE(2026,7,1),B103&lt;=DATE(2026,9,30),G103&gt;=DATE(2026,7,1),G103&lt;=DATE(2026,9,30)),1,0)</x:f>
        <x:v>1</x:v>
      </x:c>
      <x:c r="N103" t="n">
        <x:f>IF(M103=1,IF(G103&lt;=F103,1,0),0)</x:f>
        <x:v>0</x:v>
      </x:c>
      <x:c r="O103" t="n">
        <x:f>IF(AND(M103=1,K103="Sí",G103&gt;F103),1,0)</x:f>
        <x:v>0</x:v>
      </x:c>
      <x:c r="P103" t="n">
        <x:f>IF(AND(M103=1,I103&gt;0),1,0)</x:f>
        <x:v>0</x:v>
      </x:c>
      <x:c r="Q103" t="n">
        <x:f>IF(AND(B103&gt;=DATE(2026,7,1),B103&lt;=DATE(2026,9,30),G103&gt;=DATE(2026,10,1),G103&lt;=DATE(2026,10,7)),1,0)</x:f>
        <x:v>0</x:v>
      </x:c>
      <x:c r="R103" t="n">
        <x:f>IF(AND(B103&gt;=DATE(2026,7,1),B103&lt;=DATE(2026,9,30),G103&gt;DATE(2026,10,7)),1,0)</x:f>
        <x:v>0</x:v>
      </x:c>
      <x:c r="S103" t="n">
        <x:f>IF(AND(M103=1,J103&lt;&gt;"Ninguna"),1,0)</x:f>
        <x:v>0</x:v>
      </x:c>
    </x:row>
    <x:row r="104">
      <x:c r="A104" t="str">
        <x:v>PED-0103</x:v>
      </x:c>
      <x:c r="B104" s="12" t="n">
        <x:v>46205</x:v>
      </x:c>
      <x:c r="C104" t="str">
        <x:v>MecaParts</x:v>
      </x:c>
      <x:c r="D104" t="str">
        <x:v>Componentes mecánicos</x:v>
      </x:c>
      <x:c r="E104" s="10" t="n">
        <x:v>6879.91</x:v>
      </x:c>
      <x:c r="F104" s="12" t="n">
        <x:v>46215</x:v>
      </x:c>
      <x:c r="G104" s="12" t="n">
        <x:v>46215</x:v>
      </x:c>
      <x:c r="H104" t="n">
        <x:v>155</x:v>
      </x:c>
      <x:c r="I104" t="n">
        <x:v>0</x:v>
      </x:c>
      <x:c r="J104" t="str">
        <x:v>Ninguna</x:v>
      </x:c>
      <x:c r="K104" t="str">
        <x:v>No</x:v>
      </x:c>
      <x:c r="L104" t="str">
        <x:v>Barcelona</x:v>
      </x:c>
      <x:c r="M104" t="n">
        <x:f>IF(AND(B104&gt;=DATE(2026,7,1),B104&lt;=DATE(2026,9,30),G104&gt;=DATE(2026,7,1),G104&lt;=DATE(2026,9,30)),1,0)</x:f>
        <x:v>1</x:v>
      </x:c>
      <x:c r="N104" t="n">
        <x:f>IF(M104=1,IF(G104&lt;=F104,1,0),0)</x:f>
        <x:v>1</x:v>
      </x:c>
      <x:c r="O104" t="n">
        <x:f>IF(AND(M104=1,K104="Sí",G104&gt;F104),1,0)</x:f>
        <x:v>0</x:v>
      </x:c>
      <x:c r="P104" t="n">
        <x:f>IF(AND(M104=1,I104&gt;0),1,0)</x:f>
        <x:v>0</x:v>
      </x:c>
      <x:c r="Q104" t="n">
        <x:f>IF(AND(B104&gt;=DATE(2026,7,1),B104&lt;=DATE(2026,9,30),G104&gt;=DATE(2026,10,1),G104&lt;=DATE(2026,10,7)),1,0)</x:f>
        <x:v>0</x:v>
      </x:c>
      <x:c r="R104" t="n">
        <x:f>IF(AND(B104&gt;=DATE(2026,7,1),B104&lt;=DATE(2026,9,30),G104&gt;DATE(2026,10,7)),1,0)</x:f>
        <x:v>0</x:v>
      </x:c>
      <x:c r="S104" t="n">
        <x:f>IF(AND(M104=1,J104&lt;&gt;"Ninguna"),1,0)</x:f>
        <x:v>0</x:v>
      </x:c>
    </x:row>
    <x:row r="105">
      <x:c r="A105" t="str">
        <x:v>PED-0104</x:v>
      </x:c>
      <x:c r="B105" s="12" t="n">
        <x:v>46273</x:v>
      </x:c>
      <x:c r="C105" t="str">
        <x:v>MecaParts</x:v>
      </x:c>
      <x:c r="D105" t="str">
        <x:v>Componentes mecánicos</x:v>
      </x:c>
      <x:c r="E105" s="10" t="n">
        <x:v>8161.72</x:v>
      </x:c>
      <x:c r="F105" s="12" t="n">
        <x:v>46281</x:v>
      </x:c>
      <x:c r="G105" s="12" t="n">
        <x:v>46282</x:v>
      </x:c>
      <x:c r="H105" t="n">
        <x:v>379</x:v>
      </x:c>
      <x:c r="I105" t="n">
        <x:v>0</x:v>
      </x:c>
      <x:c r="J105" t="str">
        <x:v>Ninguna</x:v>
      </x:c>
      <x:c r="K105" t="str">
        <x:v>Sí</x:v>
      </x:c>
      <x:c r="L105" t="str">
        <x:v>Zaragoza</x:v>
      </x:c>
      <x:c r="M105" t="n">
        <x:f>IF(AND(B105&gt;=DATE(2026,7,1),B105&lt;=DATE(2026,9,30),G105&gt;=DATE(2026,7,1),G105&lt;=DATE(2026,9,30)),1,0)</x:f>
        <x:v>1</x:v>
      </x:c>
      <x:c r="N105" t="n">
        <x:f>IF(M105=1,IF(G105&lt;=F105,1,0),0)</x:f>
        <x:v>0</x:v>
      </x:c>
      <x:c r="O105" t="n">
        <x:f>IF(AND(M105=1,K105="Sí",G105&gt;F105),1,0)</x:f>
        <x:v>1</x:v>
      </x:c>
      <x:c r="P105" t="n">
        <x:f>IF(AND(M105=1,I105&gt;0),1,0)</x:f>
        <x:v>0</x:v>
      </x:c>
      <x:c r="Q105" t="n">
        <x:f>IF(AND(B105&gt;=DATE(2026,7,1),B105&lt;=DATE(2026,9,30),G105&gt;=DATE(2026,10,1),G105&lt;=DATE(2026,10,7)),1,0)</x:f>
        <x:v>0</x:v>
      </x:c>
      <x:c r="R105" t="n">
        <x:f>IF(AND(B105&gt;=DATE(2026,7,1),B105&lt;=DATE(2026,9,30),G105&gt;DATE(2026,10,7)),1,0)</x:f>
        <x:v>0</x:v>
      </x:c>
      <x:c r="S105" t="n">
        <x:f>IF(AND(M105=1,J105&lt;&gt;"Ninguna"),1,0)</x:f>
        <x:v>0</x:v>
      </x:c>
    </x:row>
    <x:row r="106">
      <x:c r="A106" t="str">
        <x:v>PED-0105</x:v>
      </x:c>
      <x:c r="B106" s="12" t="n">
        <x:v>46275</x:v>
      </x:c>
      <x:c r="C106" t="str">
        <x:v>PackPro</x:v>
      </x:c>
      <x:c r="D106" t="str">
        <x:v>Embalaje</x:v>
      </x:c>
      <x:c r="E106" s="10" t="n">
        <x:v>7692.89</x:v>
      </x:c>
      <x:c r="F106" s="12" t="n">
        <x:v>46280</x:v>
      </x:c>
      <x:c r="G106" s="12" t="n">
        <x:v>46284</x:v>
      </x:c>
      <x:c r="H106" t="n">
        <x:v>216</x:v>
      </x:c>
      <x:c r="I106" t="n">
        <x:v>0</x:v>
      </x:c>
      <x:c r="J106" t="str">
        <x:v>Ninguna</x:v>
      </x:c>
      <x:c r="K106" t="str">
        <x:v>No</x:v>
      </x:c>
      <x:c r="L106" t="str">
        <x:v>Valencia</x:v>
      </x:c>
      <x:c r="M106" t="n">
        <x:f>IF(AND(B106&gt;=DATE(2026,7,1),B106&lt;=DATE(2026,9,30),G106&gt;=DATE(2026,7,1),G106&lt;=DATE(2026,9,30)),1,0)</x:f>
        <x:v>1</x:v>
      </x:c>
      <x:c r="N106" t="n">
        <x:f>IF(M106=1,IF(G106&lt;=F106,1,0),0)</x:f>
        <x:v>0</x:v>
      </x:c>
      <x:c r="O106" t="n">
        <x:f>IF(AND(M106=1,K106="Sí",G106&gt;F106),1,0)</x:f>
        <x:v>0</x:v>
      </x:c>
      <x:c r="P106" t="n">
        <x:f>IF(AND(M106=1,I106&gt;0),1,0)</x:f>
        <x:v>0</x:v>
      </x:c>
      <x:c r="Q106" t="n">
        <x:f>IF(AND(B106&gt;=DATE(2026,7,1),B106&lt;=DATE(2026,9,30),G106&gt;=DATE(2026,10,1),G106&lt;=DATE(2026,10,7)),1,0)</x:f>
        <x:v>0</x:v>
      </x:c>
      <x:c r="R106" t="n">
        <x:f>IF(AND(B106&gt;=DATE(2026,7,1),B106&lt;=DATE(2026,9,30),G106&gt;DATE(2026,10,7)),1,0)</x:f>
        <x:v>0</x:v>
      </x:c>
      <x:c r="S106" t="n">
        <x:f>IF(AND(M106=1,J106&lt;&gt;"Ninguna"),1,0)</x:f>
        <x:v>0</x:v>
      </x:c>
    </x:row>
    <x:row r="107">
      <x:c r="A107" t="str">
        <x:v>PED-0106</x:v>
      </x:c>
      <x:c r="B107" s="12" t="n">
        <x:v>46219</x:v>
      </x:c>
      <x:c r="C107" t="str">
        <x:v>OfiPlus</x:v>
      </x:c>
      <x:c r="D107" t="str">
        <x:v>Consumibles</x:v>
      </x:c>
      <x:c r="E107" s="10" t="n">
        <x:v>2319.17</x:v>
      </x:c>
      <x:c r="F107" s="12" t="n">
        <x:v>46222</x:v>
      </x:c>
      <x:c r="G107" s="12" t="n">
        <x:v>46233</x:v>
      </x:c>
      <x:c r="H107" t="n">
        <x:v>305</x:v>
      </x:c>
      <x:c r="I107" t="n">
        <x:v>0</x:v>
      </x:c>
      <x:c r="J107" t="str">
        <x:v>Retraso</x:v>
      </x:c>
      <x:c r="K107" t="str">
        <x:v>No</x:v>
      </x:c>
      <x:c r="L107" t="str">
        <x:v>Zaragoza</x:v>
      </x:c>
      <x:c r="M107" t="n">
        <x:f>IF(AND(B107&gt;=DATE(2026,7,1),B107&lt;=DATE(2026,9,30),G107&gt;=DATE(2026,7,1),G107&lt;=DATE(2026,9,30)),1,0)</x:f>
        <x:v>1</x:v>
      </x:c>
      <x:c r="N107" t="n">
        <x:f>IF(M107=1,IF(G107&lt;=F107,1,0),0)</x:f>
        <x:v>0</x:v>
      </x:c>
      <x:c r="O107" t="n">
        <x:f>IF(AND(M107=1,K107="Sí",G107&gt;F107),1,0)</x:f>
        <x:v>0</x:v>
      </x:c>
      <x:c r="P107" t="n">
        <x:f>IF(AND(M107=1,I107&gt;0),1,0)</x:f>
        <x:v>0</x:v>
      </x:c>
      <x:c r="Q107" t="n">
        <x:f>IF(AND(B107&gt;=DATE(2026,7,1),B107&lt;=DATE(2026,9,30),G107&gt;=DATE(2026,10,1),G107&lt;=DATE(2026,10,7)),1,0)</x:f>
        <x:v>0</x:v>
      </x:c>
      <x:c r="R107" t="n">
        <x:f>IF(AND(B107&gt;=DATE(2026,7,1),B107&lt;=DATE(2026,9,30),G107&gt;DATE(2026,10,7)),1,0)</x:f>
        <x:v>0</x:v>
      </x:c>
      <x:c r="S107" t="n">
        <x:f>IF(AND(M107=1,J107&lt;&gt;"Ninguna"),1,0)</x:f>
        <x:v>1</x:v>
      </x:c>
    </x:row>
    <x:row r="108">
      <x:c r="A108" t="str">
        <x:v>PED-0107</x:v>
      </x:c>
      <x:c r="B108" s="12" t="n">
        <x:v>46293</x:v>
      </x:c>
      <x:c r="C108" t="str">
        <x:v>PackPro</x:v>
      </x:c>
      <x:c r="D108" t="str">
        <x:v>Embalaje</x:v>
      </x:c>
      <x:c r="E108" s="10" t="n">
        <x:v>2386.72</x:v>
      </x:c>
      <x:c r="F108" s="12" t="n">
        <x:v>46300</x:v>
      </x:c>
      <x:c r="G108" s="12" t="n">
        <x:v>46310</x:v>
      </x:c>
      <x:c r="H108" t="n">
        <x:v>70</x:v>
      </x:c>
      <x:c r="I108" t="n">
        <x:v>0</x:v>
      </x:c>
      <x:c r="J108" t="str">
        <x:v>Retraso</x:v>
      </x:c>
      <x:c r="K108" t="str">
        <x:v>No</x:v>
      </x:c>
      <x:c r="L108" t="str">
        <x:v>Barcelona</x:v>
      </x:c>
      <x:c r="M108" t="n">
        <x:f>IF(AND(B108&gt;=DATE(2026,7,1),B108&lt;=DATE(2026,9,30),G108&gt;=DATE(2026,7,1),G108&lt;=DATE(2026,9,30)),1,0)</x:f>
        <x:v>0</x:v>
      </x:c>
      <x:c r="N108" t="n">
        <x:f>IF(M108=1,IF(G108&lt;=F108,1,0),0)</x:f>
        <x:v>0</x:v>
      </x:c>
      <x:c r="O108" t="n">
        <x:f>IF(AND(M108=1,K108="Sí",G108&gt;F108),1,0)</x:f>
        <x:v>0</x:v>
      </x:c>
      <x:c r="P108" t="n">
        <x:f>IF(AND(M108=1,I108&gt;0),1,0)</x:f>
        <x:v>0</x:v>
      </x:c>
      <x:c r="Q108" t="n">
        <x:f>IF(AND(B108&gt;=DATE(2026,7,1),B108&lt;=DATE(2026,9,30),G108&gt;=DATE(2026,10,1),G108&lt;=DATE(2026,10,7)),1,0)</x:f>
        <x:v>0</x:v>
      </x:c>
      <x:c r="R108" t="n">
        <x:f>IF(AND(B108&gt;=DATE(2026,7,1),B108&lt;=DATE(2026,9,30),G108&gt;DATE(2026,10,7)),1,0)</x:f>
        <x:v>1</x:v>
      </x:c>
      <x:c r="S108" t="n">
        <x:f>IF(AND(M108=1,J108&lt;&gt;"Ninguna"),1,0)</x:f>
        <x:v>0</x:v>
      </x:c>
    </x:row>
    <x:row r="109">
      <x:c r="A109" t="str">
        <x:v>PED-0108</x:v>
      </x:c>
      <x:c r="B109" s="12" t="n">
        <x:v>46293</x:v>
      </x:c>
      <x:c r="C109" t="str">
        <x:v>MecaParts</x:v>
      </x:c>
      <x:c r="D109" t="str">
        <x:v>Componentes mecánicos</x:v>
      </x:c>
      <x:c r="E109" s="10" t="n">
        <x:v>6018.49</x:v>
      </x:c>
      <x:c r="F109" s="12" t="n">
        <x:v>46304</x:v>
      </x:c>
      <x:c r="G109" s="12" t="n">
        <x:v>46308</x:v>
      </x:c>
      <x:c r="H109" t="n">
        <x:v>303</x:v>
      </x:c>
      <x:c r="I109" t="n">
        <x:v>0</x:v>
      </x:c>
      <x:c r="J109" t="str">
        <x:v>Ninguna</x:v>
      </x:c>
      <x:c r="K109" t="str">
        <x:v>No</x:v>
      </x:c>
      <x:c r="L109" t="str">
        <x:v>Valencia</x:v>
      </x:c>
      <x:c r="M109" t="n">
        <x:f>IF(AND(B109&gt;=DATE(2026,7,1),B109&lt;=DATE(2026,9,30),G109&gt;=DATE(2026,7,1),G109&lt;=DATE(2026,9,30)),1,0)</x:f>
        <x:v>0</x:v>
      </x:c>
      <x:c r="N109" t="n">
        <x:f>IF(M109=1,IF(G109&lt;=F109,1,0),0)</x:f>
        <x:v>0</x:v>
      </x:c>
      <x:c r="O109" t="n">
        <x:f>IF(AND(M109=1,K109="Sí",G109&gt;F109),1,0)</x:f>
        <x:v>0</x:v>
      </x:c>
      <x:c r="P109" t="n">
        <x:f>IF(AND(M109=1,I109&gt;0),1,0)</x:f>
        <x:v>0</x:v>
      </x:c>
      <x:c r="Q109" t="n">
        <x:f>IF(AND(B109&gt;=DATE(2026,7,1),B109&lt;=DATE(2026,9,30),G109&gt;=DATE(2026,10,1),G109&lt;=DATE(2026,10,7)),1,0)</x:f>
        <x:v>0</x:v>
      </x:c>
      <x:c r="R109" t="n">
        <x:f>IF(AND(B109&gt;=DATE(2026,7,1),B109&lt;=DATE(2026,9,30),G109&gt;DATE(2026,10,7)),1,0)</x:f>
        <x:v>1</x:v>
      </x:c>
      <x:c r="S109" t="n">
        <x:f>IF(AND(M109=1,J109&lt;&gt;"Ninguna"),1,0)</x:f>
        <x:v>0</x:v>
      </x:c>
    </x:row>
    <x:row r="110">
      <x:c r="A110" t="str">
        <x:v>PED-0109</x:v>
      </x:c>
      <x:c r="B110" s="12" t="n">
        <x:v>46207</x:v>
      </x:c>
      <x:c r="C110" t="str">
        <x:v>OfiPlus</x:v>
      </x:c>
      <x:c r="D110" t="str">
        <x:v>Consumibles</x:v>
      </x:c>
      <x:c r="E110" s="10" t="n">
        <x:v>1666.48</x:v>
      </x:c>
      <x:c r="F110" s="12" t="n">
        <x:v>46210</x:v>
      </x:c>
      <x:c r="G110" s="12" t="n">
        <x:v>46214</x:v>
      </x:c>
      <x:c r="H110" t="n">
        <x:v>234</x:v>
      </x:c>
      <x:c r="I110" t="n">
        <x:v>0</x:v>
      </x:c>
      <x:c r="J110" t="str">
        <x:v>Retraso</x:v>
      </x:c>
      <x:c r="K110" t="str">
        <x:v>No</x:v>
      </x:c>
      <x:c r="L110" t="str">
        <x:v>Zaragoza</x:v>
      </x:c>
      <x:c r="M110" t="n">
        <x:f>IF(AND(B110&gt;=DATE(2026,7,1),B110&lt;=DATE(2026,9,30),G110&gt;=DATE(2026,7,1),G110&lt;=DATE(2026,9,30)),1,0)</x:f>
        <x:v>1</x:v>
      </x:c>
      <x:c r="N110" t="n">
        <x:f>IF(M110=1,IF(G110&lt;=F110,1,0),0)</x:f>
        <x:v>0</x:v>
      </x:c>
      <x:c r="O110" t="n">
        <x:f>IF(AND(M110=1,K110="Sí",G110&gt;F110),1,0)</x:f>
        <x:v>0</x:v>
      </x:c>
      <x:c r="P110" t="n">
        <x:f>IF(AND(M110=1,I110&gt;0),1,0)</x:f>
        <x:v>0</x:v>
      </x:c>
      <x:c r="Q110" t="n">
        <x:f>IF(AND(B110&gt;=DATE(2026,7,1),B110&lt;=DATE(2026,9,30),G110&gt;=DATE(2026,10,1),G110&lt;=DATE(2026,10,7)),1,0)</x:f>
        <x:v>0</x:v>
      </x:c>
      <x:c r="R110" t="n">
        <x:f>IF(AND(B110&gt;=DATE(2026,7,1),B110&lt;=DATE(2026,9,30),G110&gt;DATE(2026,10,7)),1,0)</x:f>
        <x:v>0</x:v>
      </x:c>
      <x:c r="S110" t="n">
        <x:f>IF(AND(M110=1,J110&lt;&gt;"Ninguna"),1,0)</x:f>
        <x:v>1</x:v>
      </x:c>
    </x:row>
    <x:row r="111">
      <x:c r="A111" t="str">
        <x:v>PED-0110</x:v>
      </x:c>
      <x:c r="B111" s="12" t="n">
        <x:v>46256</x:v>
      </x:c>
      <x:c r="C111" t="str">
        <x:v>PackPro</x:v>
      </x:c>
      <x:c r="D111" t="str">
        <x:v>Embalaje</x:v>
      </x:c>
      <x:c r="E111" s="10" t="n">
        <x:v>736.97</x:v>
      </x:c>
      <x:c r="F111" s="12" t="n">
        <x:v>46262</x:v>
      </x:c>
      <x:c r="G111" s="12" t="n">
        <x:v>46261</x:v>
      </x:c>
      <x:c r="H111" t="n">
        <x:v>55</x:v>
      </x:c>
      <x:c r="I111" t="n">
        <x:v>0</x:v>
      </x:c>
      <x:c r="J111" t="str">
        <x:v>Documentación</x:v>
      </x:c>
      <x:c r="K111" t="str">
        <x:v>No</x:v>
      </x:c>
      <x:c r="L111" t="str">
        <x:v>Barcelona</x:v>
      </x:c>
      <x:c r="M111" t="n">
        <x:f>IF(AND(B111&gt;=DATE(2026,7,1),B111&lt;=DATE(2026,9,30),G111&gt;=DATE(2026,7,1),G111&lt;=DATE(2026,9,30)),1,0)</x:f>
        <x:v>1</x:v>
      </x:c>
      <x:c r="N111" t="n">
        <x:f>IF(M111=1,IF(G111&lt;=F111,1,0),0)</x:f>
        <x:v>1</x:v>
      </x:c>
      <x:c r="O111" t="n">
        <x:f>IF(AND(M111=1,K111="Sí",G111&gt;F111),1,0)</x:f>
        <x:v>0</x:v>
      </x:c>
      <x:c r="P111" t="n">
        <x:f>IF(AND(M111=1,I111&gt;0),1,0)</x:f>
        <x:v>0</x:v>
      </x:c>
      <x:c r="Q111" t="n">
        <x:f>IF(AND(B111&gt;=DATE(2026,7,1),B111&lt;=DATE(2026,9,30),G111&gt;=DATE(2026,10,1),G111&lt;=DATE(2026,10,7)),1,0)</x:f>
        <x:v>0</x:v>
      </x:c>
      <x:c r="R111" t="n">
        <x:f>IF(AND(B111&gt;=DATE(2026,7,1),B111&lt;=DATE(2026,9,30),G111&gt;DATE(2026,10,7)),1,0)</x:f>
        <x:v>0</x:v>
      </x:c>
      <x:c r="S111" t="n">
        <x:f>IF(AND(M111=1,J111&lt;&gt;"Ninguna"),1,0)</x:f>
        <x:v>1</x:v>
      </x:c>
    </x:row>
    <x:row r="112">
      <x:c r="A112" t="str">
        <x:v>PED-0111</x:v>
      </x:c>
      <x:c r="B112" s="12" t="n">
        <x:v>46244</x:v>
      </x:c>
      <x:c r="C112" t="str">
        <x:v>MetalNova</x:v>
      </x:c>
      <x:c r="D112" t="str">
        <x:v>Componentes mecánicos</x:v>
      </x:c>
      <x:c r="E112" s="10" t="n">
        <x:v>5475.51</x:v>
      </x:c>
      <x:c r="F112" s="12" t="n">
        <x:v>46256</x:v>
      </x:c>
      <x:c r="G112" s="12" t="n">
        <x:v>46256</x:v>
      </x:c>
      <x:c r="H112" t="n">
        <x:v>194</x:v>
      </x:c>
      <x:c r="I112" t="n">
        <x:v>0</x:v>
      </x:c>
      <x:c r="J112" t="str">
        <x:v>Cantidad incorrecta</x:v>
      </x:c>
      <x:c r="K112" t="str">
        <x:v>No</x:v>
      </x:c>
      <x:c r="L112" t="str">
        <x:v>Zaragoza</x:v>
      </x:c>
      <x:c r="M112" t="n">
        <x:f>IF(AND(B112&gt;=DATE(2026,7,1),B112&lt;=DATE(2026,9,30),G112&gt;=DATE(2026,7,1),G112&lt;=DATE(2026,9,30)),1,0)</x:f>
        <x:v>1</x:v>
      </x:c>
      <x:c r="N112" t="n">
        <x:f>IF(M112=1,IF(G112&lt;=F112,1,0),0)</x:f>
        <x:v>1</x:v>
      </x:c>
      <x:c r="O112" t="n">
        <x:f>IF(AND(M112=1,K112="Sí",G112&gt;F112),1,0)</x:f>
        <x:v>0</x:v>
      </x:c>
      <x:c r="P112" t="n">
        <x:f>IF(AND(M112=1,I112&gt;0),1,0)</x:f>
        <x:v>0</x:v>
      </x:c>
      <x:c r="Q112" t="n">
        <x:f>IF(AND(B112&gt;=DATE(2026,7,1),B112&lt;=DATE(2026,9,30),G112&gt;=DATE(2026,10,1),G112&lt;=DATE(2026,10,7)),1,0)</x:f>
        <x:v>0</x:v>
      </x:c>
      <x:c r="R112" t="n">
        <x:f>IF(AND(B112&gt;=DATE(2026,7,1),B112&lt;=DATE(2026,9,30),G112&gt;DATE(2026,10,7)),1,0)</x:f>
        <x:v>0</x:v>
      </x:c>
      <x:c r="S112" t="n">
        <x:f>IF(AND(M112=1,J112&lt;&gt;"Ninguna"),1,0)</x:f>
        <x:v>1</x:v>
      </x:c>
    </x:row>
    <x:row r="113">
      <x:c r="A113" t="str">
        <x:v>PED-0112</x:v>
      </x:c>
      <x:c r="B113" s="12" t="n">
        <x:v>46279</x:v>
      </x:c>
      <x:c r="C113" t="str">
        <x:v>PackPro</x:v>
      </x:c>
      <x:c r="D113" t="str">
        <x:v>Embalaje</x:v>
      </x:c>
      <x:c r="E113" s="10" t="n">
        <x:v>18490.85</x:v>
      </x:c>
      <x:c r="F113" s="12" t="n">
        <x:v>46287</x:v>
      </x:c>
      <x:c r="G113" s="12" t="n">
        <x:v>46286</x:v>
      </x:c>
      <x:c r="H113" t="n">
        <x:v>363</x:v>
      </x:c>
      <x:c r="I113" t="n">
        <x:v>0</x:v>
      </x:c>
      <x:c r="J113" t="str">
        <x:v>Cantidad incorrecta</x:v>
      </x:c>
      <x:c r="K113" t="str">
        <x:v>No</x:v>
      </x:c>
      <x:c r="L113" t="str">
        <x:v>Valencia</x:v>
      </x:c>
      <x:c r="M113" t="n">
        <x:f>IF(AND(B113&gt;=DATE(2026,7,1),B113&lt;=DATE(2026,9,30),G113&gt;=DATE(2026,7,1),G113&lt;=DATE(2026,9,30)),1,0)</x:f>
        <x:v>1</x:v>
      </x:c>
      <x:c r="N113" t="n">
        <x:f>IF(M113=1,IF(G113&lt;=F113,1,0),0)</x:f>
        <x:v>1</x:v>
      </x:c>
      <x:c r="O113" t="n">
        <x:f>IF(AND(M113=1,K113="Sí",G113&gt;F113),1,0)</x:f>
        <x:v>0</x:v>
      </x:c>
      <x:c r="P113" t="n">
        <x:f>IF(AND(M113=1,I113&gt;0),1,0)</x:f>
        <x:v>0</x:v>
      </x:c>
      <x:c r="Q113" t="n">
        <x:f>IF(AND(B113&gt;=DATE(2026,7,1),B113&lt;=DATE(2026,9,30),G113&gt;=DATE(2026,10,1),G113&lt;=DATE(2026,10,7)),1,0)</x:f>
        <x:v>0</x:v>
      </x:c>
      <x:c r="R113" t="n">
        <x:f>IF(AND(B113&gt;=DATE(2026,7,1),B113&lt;=DATE(2026,9,30),G113&gt;DATE(2026,10,7)),1,0)</x:f>
        <x:v>0</x:v>
      </x:c>
      <x:c r="S113" t="n">
        <x:f>IF(AND(M113=1,J113&lt;&gt;"Ninguna"),1,0)</x:f>
        <x:v>1</x:v>
      </x:c>
    </x:row>
    <x:row r="114">
      <x:c r="A114" t="str">
        <x:v>PED-0113</x:v>
      </x:c>
      <x:c r="B114" s="12" t="n">
        <x:v>46243</x:v>
      </x:c>
      <x:c r="C114" t="str">
        <x:v>ElectraSupply</x:v>
      </x:c>
      <x:c r="D114" t="str">
        <x:v>Componentes eléctricos</x:v>
      </x:c>
      <x:c r="E114" s="10" t="n">
        <x:v>4122.62</x:v>
      </x:c>
      <x:c r="F114" s="12" t="n">
        <x:v>46256</x:v>
      </x:c>
      <x:c r="G114" s="12" t="n">
        <x:v>46262</x:v>
      </x:c>
      <x:c r="H114" t="n">
        <x:v>87</x:v>
      </x:c>
      <x:c r="I114" t="n">
        <x:v>0</x:v>
      </x:c>
      <x:c r="J114" t="str">
        <x:v>Ninguna</x:v>
      </x:c>
      <x:c r="K114" t="str">
        <x:v>No</x:v>
      </x:c>
      <x:c r="L114" t="str">
        <x:v>Zaragoza</x:v>
      </x:c>
      <x:c r="M114" t="n">
        <x:f>IF(AND(B114&gt;=DATE(2026,7,1),B114&lt;=DATE(2026,9,30),G114&gt;=DATE(2026,7,1),G114&lt;=DATE(2026,9,30)),1,0)</x:f>
        <x:v>1</x:v>
      </x:c>
      <x:c r="N114" t="n">
        <x:f>IF(M114=1,IF(G114&lt;=F114,1,0),0)</x:f>
        <x:v>0</x:v>
      </x:c>
      <x:c r="O114" t="n">
        <x:f>IF(AND(M114=1,K114="Sí",G114&gt;F114),1,0)</x:f>
        <x:v>0</x:v>
      </x:c>
      <x:c r="P114" t="n">
        <x:f>IF(AND(M114=1,I114&gt;0),1,0)</x:f>
        <x:v>0</x:v>
      </x:c>
      <x:c r="Q114" t="n">
        <x:f>IF(AND(B114&gt;=DATE(2026,7,1),B114&lt;=DATE(2026,9,30),G114&gt;=DATE(2026,10,1),G114&lt;=DATE(2026,10,7)),1,0)</x:f>
        <x:v>0</x:v>
      </x:c>
      <x:c r="R114" t="n">
        <x:f>IF(AND(B114&gt;=DATE(2026,7,1),B114&lt;=DATE(2026,9,30),G114&gt;DATE(2026,10,7)),1,0)</x:f>
        <x:v>0</x:v>
      </x:c>
      <x:c r="S114" t="n">
        <x:f>IF(AND(M114=1,J114&lt;&gt;"Ninguna"),1,0)</x:f>
        <x:v>0</x:v>
      </x:c>
    </x:row>
    <x:row r="115">
      <x:c r="A115" t="str">
        <x:v>PED-0114</x:v>
      </x:c>
      <x:c r="B115" s="12" t="n">
        <x:v>46217</x:v>
      </x:c>
      <x:c r="C115" t="str">
        <x:v>MetalNova</x:v>
      </x:c>
      <x:c r="D115" t="str">
        <x:v>Componentes mecánicos</x:v>
      </x:c>
      <x:c r="E115" s="10" t="n">
        <x:v>1141.86</x:v>
      </x:c>
      <x:c r="F115" s="12" t="n">
        <x:v>46229</x:v>
      </x:c>
      <x:c r="G115" s="12" t="n">
        <x:v>46228</x:v>
      </x:c>
      <x:c r="H115" t="n">
        <x:v>51</x:v>
      </x:c>
      <x:c r="I115" t="n">
        <x:v>0</x:v>
      </x:c>
      <x:c r="J115" t="str">
        <x:v>Ninguna</x:v>
      </x:c>
      <x:c r="K115" t="str">
        <x:v>No</x:v>
      </x:c>
      <x:c r="L115" t="str">
        <x:v>Barcelona</x:v>
      </x:c>
      <x:c r="M115" t="n">
        <x:f>IF(AND(B115&gt;=DATE(2026,7,1),B115&lt;=DATE(2026,9,30),G115&gt;=DATE(2026,7,1),G115&lt;=DATE(2026,9,30)),1,0)</x:f>
        <x:v>1</x:v>
      </x:c>
      <x:c r="N115" t="n">
        <x:f>IF(M115=1,IF(G115&lt;=F115,1,0),0)</x:f>
        <x:v>1</x:v>
      </x:c>
      <x:c r="O115" t="n">
        <x:f>IF(AND(M115=1,K115="Sí",G115&gt;F115),1,0)</x:f>
        <x:v>0</x:v>
      </x:c>
      <x:c r="P115" t="n">
        <x:f>IF(AND(M115=1,I115&gt;0),1,0)</x:f>
        <x:v>0</x:v>
      </x:c>
      <x:c r="Q115" t="n">
        <x:f>IF(AND(B115&gt;=DATE(2026,7,1),B115&lt;=DATE(2026,9,30),G115&gt;=DATE(2026,10,1),G115&lt;=DATE(2026,10,7)),1,0)</x:f>
        <x:v>0</x:v>
      </x:c>
      <x:c r="R115" t="n">
        <x:f>IF(AND(B115&gt;=DATE(2026,7,1),B115&lt;=DATE(2026,9,30),G115&gt;DATE(2026,10,7)),1,0)</x:f>
        <x:v>0</x:v>
      </x:c>
      <x:c r="S115" t="n">
        <x:f>IF(AND(M115=1,J115&lt;&gt;"Ninguna"),1,0)</x:f>
        <x:v>0</x:v>
      </x:c>
    </x:row>
    <x:row r="116">
      <x:c r="A116" t="str">
        <x:v>PED-0115</x:v>
      </x:c>
      <x:c r="B116" s="12" t="n">
        <x:v>46234</x:v>
      </x:c>
      <x:c r="C116" t="str">
        <x:v>MecaParts</x:v>
      </x:c>
      <x:c r="D116" t="str">
        <x:v>Componentes mecánicos</x:v>
      </x:c>
      <x:c r="E116" s="10" t="n">
        <x:v>17046.54</x:v>
      </x:c>
      <x:c r="F116" s="12" t="n">
        <x:v>46243</x:v>
      </x:c>
      <x:c r="G116" s="12" t="n">
        <x:v>46253</x:v>
      </x:c>
      <x:c r="H116" t="n">
        <x:v>367</x:v>
      </x:c>
      <x:c r="I116" t="n">
        <x:v>0</x:v>
      </x:c>
      <x:c r="J116" t="str">
        <x:v>Retraso</x:v>
      </x:c>
      <x:c r="K116" t="str">
        <x:v>No</x:v>
      </x:c>
      <x:c r="L116" t="str">
        <x:v>Valencia</x:v>
      </x:c>
      <x:c r="M116" t="n">
        <x:f>IF(AND(B116&gt;=DATE(2026,7,1),B116&lt;=DATE(2026,9,30),G116&gt;=DATE(2026,7,1),G116&lt;=DATE(2026,9,30)),1,0)</x:f>
        <x:v>1</x:v>
      </x:c>
      <x:c r="N116" t="n">
        <x:f>IF(M116=1,IF(G116&lt;=F116,1,0),0)</x:f>
        <x:v>0</x:v>
      </x:c>
      <x:c r="O116" t="n">
        <x:f>IF(AND(M116=1,K116="Sí",G116&gt;F116),1,0)</x:f>
        <x:v>0</x:v>
      </x:c>
      <x:c r="P116" t="n">
        <x:f>IF(AND(M116=1,I116&gt;0),1,0)</x:f>
        <x:v>0</x:v>
      </x:c>
      <x:c r="Q116" t="n">
        <x:f>IF(AND(B116&gt;=DATE(2026,7,1),B116&lt;=DATE(2026,9,30),G116&gt;=DATE(2026,10,1),G116&lt;=DATE(2026,10,7)),1,0)</x:f>
        <x:v>0</x:v>
      </x:c>
      <x:c r="R116" t="n">
        <x:f>IF(AND(B116&gt;=DATE(2026,7,1),B116&lt;=DATE(2026,9,30),G116&gt;DATE(2026,10,7)),1,0)</x:f>
        <x:v>0</x:v>
      </x:c>
      <x:c r="S116" t="n">
        <x:f>IF(AND(M116=1,J116&lt;&gt;"Ninguna"),1,0)</x:f>
        <x:v>1</x:v>
      </x:c>
    </x:row>
    <x:row r="117">
      <x:c r="A117" t="str">
        <x:v>PED-0116</x:v>
      </x:c>
      <x:c r="B117" s="12" t="n">
        <x:v>46268</x:v>
      </x:c>
      <x:c r="C117" t="str">
        <x:v>PackPro</x:v>
      </x:c>
      <x:c r="D117" t="str">
        <x:v>Embalaje</x:v>
      </x:c>
      <x:c r="E117" s="10" t="n">
        <x:v>6898.18</x:v>
      </x:c>
      <x:c r="F117" s="12" t="n">
        <x:v>46275</x:v>
      </x:c>
      <x:c r="G117" s="12" t="n">
        <x:v>46276</x:v>
      </x:c>
      <x:c r="H117" t="n">
        <x:v>220</x:v>
      </x:c>
      <x:c r="I117" t="n">
        <x:v>0</x:v>
      </x:c>
      <x:c r="J117" t="str">
        <x:v>Ninguna</x:v>
      </x:c>
      <x:c r="K117" t="str">
        <x:v>No</x:v>
      </x:c>
      <x:c r="L117" t="str">
        <x:v>Barcelona</x:v>
      </x:c>
      <x:c r="M117" t="n">
        <x:f>IF(AND(B117&gt;=DATE(2026,7,1),B117&lt;=DATE(2026,9,30),G117&gt;=DATE(2026,7,1),G117&lt;=DATE(2026,9,30)),1,0)</x:f>
        <x:v>1</x:v>
      </x:c>
      <x:c r="N117" t="n">
        <x:f>IF(M117=1,IF(G117&lt;=F117,1,0),0)</x:f>
        <x:v>0</x:v>
      </x:c>
      <x:c r="O117" t="n">
        <x:f>IF(AND(M117=1,K117="Sí",G117&gt;F117),1,0)</x:f>
        <x:v>0</x:v>
      </x:c>
      <x:c r="P117" t="n">
        <x:f>IF(AND(M117=1,I117&gt;0),1,0)</x:f>
        <x:v>0</x:v>
      </x:c>
      <x:c r="Q117" t="n">
        <x:f>IF(AND(B117&gt;=DATE(2026,7,1),B117&lt;=DATE(2026,9,30),G117&gt;=DATE(2026,10,1),G117&lt;=DATE(2026,10,7)),1,0)</x:f>
        <x:v>0</x:v>
      </x:c>
      <x:c r="R117" t="n">
        <x:f>IF(AND(B117&gt;=DATE(2026,7,1),B117&lt;=DATE(2026,9,30),G117&gt;DATE(2026,10,7)),1,0)</x:f>
        <x:v>0</x:v>
      </x:c>
      <x:c r="S117" t="n">
        <x:f>IF(AND(M117=1,J117&lt;&gt;"Ninguna"),1,0)</x:f>
        <x:v>0</x:v>
      </x:c>
    </x:row>
    <x:row r="118">
      <x:c r="A118" t="str">
        <x:v>PED-0117</x:v>
      </x:c>
      <x:c r="B118" s="12" t="n">
        <x:v>46253</x:v>
      </x:c>
      <x:c r="C118" t="str">
        <x:v>MecaParts</x:v>
      </x:c>
      <x:c r="D118" t="str">
        <x:v>Componentes mecánicos</x:v>
      </x:c>
      <x:c r="E118" s="10" t="n">
        <x:v>1060.18</x:v>
      </x:c>
      <x:c r="F118" s="12" t="n">
        <x:v>46264</x:v>
      </x:c>
      <x:c r="G118" s="12" t="n">
        <x:v>46276</x:v>
      </x:c>
      <x:c r="H118" t="n">
        <x:v>60</x:v>
      </x:c>
      <x:c r="I118" t="n">
        <x:v>0</x:v>
      </x:c>
      <x:c r="J118" t="str">
        <x:v>Retraso</x:v>
      </x:c>
      <x:c r="K118" t="str">
        <x:v>Sí</x:v>
      </x:c>
      <x:c r="L118" t="str">
        <x:v>Valencia</x:v>
      </x:c>
      <x:c r="M118" t="n">
        <x:f>IF(AND(B118&gt;=DATE(2026,7,1),B118&lt;=DATE(2026,9,30),G118&gt;=DATE(2026,7,1),G118&lt;=DATE(2026,9,30)),1,0)</x:f>
        <x:v>1</x:v>
      </x:c>
      <x:c r="N118" t="n">
        <x:f>IF(M118=1,IF(G118&lt;=F118,1,0),0)</x:f>
        <x:v>0</x:v>
      </x:c>
      <x:c r="O118" t="n">
        <x:f>IF(AND(M118=1,K118="Sí",G118&gt;F118),1,0)</x:f>
        <x:v>1</x:v>
      </x:c>
      <x:c r="P118" t="n">
        <x:f>IF(AND(M118=1,I118&gt;0),1,0)</x:f>
        <x:v>0</x:v>
      </x:c>
      <x:c r="Q118" t="n">
        <x:f>IF(AND(B118&gt;=DATE(2026,7,1),B118&lt;=DATE(2026,9,30),G118&gt;=DATE(2026,10,1),G118&lt;=DATE(2026,10,7)),1,0)</x:f>
        <x:v>0</x:v>
      </x:c>
      <x:c r="R118" t="n">
        <x:f>IF(AND(B118&gt;=DATE(2026,7,1),B118&lt;=DATE(2026,9,30),G118&gt;DATE(2026,10,7)),1,0)</x:f>
        <x:v>0</x:v>
      </x:c>
      <x:c r="S118" t="n">
        <x:f>IF(AND(M118=1,J118&lt;&gt;"Ninguna"),1,0)</x:f>
        <x:v>1</x:v>
      </x:c>
    </x:row>
    <x:row r="119">
      <x:c r="A119" t="str">
        <x:v>PED-0118</x:v>
      </x:c>
      <x:c r="B119" s="12" t="n">
        <x:v>46205</x:v>
      </x:c>
      <x:c r="C119" t="str">
        <x:v>MecaParts</x:v>
      </x:c>
      <x:c r="D119" t="str">
        <x:v>Componentes mecánicos</x:v>
      </x:c>
      <x:c r="E119" s="10" t="n">
        <x:v>4094.43</x:v>
      </x:c>
      <x:c r="F119" s="12" t="n">
        <x:v>46213</x:v>
      </x:c>
      <x:c r="G119" s="12" t="n">
        <x:v>46213</x:v>
      </x:c>
      <x:c r="H119" t="n">
        <x:v>106</x:v>
      </x:c>
      <x:c r="I119" t="n">
        <x:v>0</x:v>
      </x:c>
      <x:c r="J119" t="str">
        <x:v>Ninguna</x:v>
      </x:c>
      <x:c r="K119" t="str">
        <x:v>No</x:v>
      </x:c>
      <x:c r="L119" t="str">
        <x:v>Zaragoza</x:v>
      </x:c>
      <x:c r="M119" t="n">
        <x:f>IF(AND(B119&gt;=DATE(2026,7,1),B119&lt;=DATE(2026,9,30),G119&gt;=DATE(2026,7,1),G119&lt;=DATE(2026,9,30)),1,0)</x:f>
        <x:v>1</x:v>
      </x:c>
      <x:c r="N119" t="n">
        <x:f>IF(M119=1,IF(G119&lt;=F119,1,0),0)</x:f>
        <x:v>1</x:v>
      </x:c>
      <x:c r="O119" t="n">
        <x:f>IF(AND(M119=1,K119="Sí",G119&gt;F119),1,0)</x:f>
        <x:v>0</x:v>
      </x:c>
      <x:c r="P119" t="n">
        <x:f>IF(AND(M119=1,I119&gt;0),1,0)</x:f>
        <x:v>0</x:v>
      </x:c>
      <x:c r="Q119" t="n">
        <x:f>IF(AND(B119&gt;=DATE(2026,7,1),B119&lt;=DATE(2026,9,30),G119&gt;=DATE(2026,10,1),G119&lt;=DATE(2026,10,7)),1,0)</x:f>
        <x:v>0</x:v>
      </x:c>
      <x:c r="R119" t="n">
        <x:f>IF(AND(B119&gt;=DATE(2026,7,1),B119&lt;=DATE(2026,9,30),G119&gt;DATE(2026,10,7)),1,0)</x:f>
        <x:v>0</x:v>
      </x:c>
      <x:c r="S119" t="n">
        <x:f>IF(AND(M119=1,J119&lt;&gt;"Ninguna"),1,0)</x:f>
        <x:v>0</x:v>
      </x:c>
    </x:row>
    <x:row r="120">
      <x:c r="A120" t="str">
        <x:v>PED-0119</x:v>
      </x:c>
      <x:c r="B120" s="12" t="n">
        <x:v>46209</x:v>
      </x:c>
      <x:c r="C120" t="str">
        <x:v>PackPro</x:v>
      </x:c>
      <x:c r="D120" t="str">
        <x:v>Embalaje</x:v>
      </x:c>
      <x:c r="E120" s="10" t="n">
        <x:v>1782.13</x:v>
      </x:c>
      <x:c r="F120" s="12" t="n">
        <x:v>46214</x:v>
      </x:c>
      <x:c r="G120" s="12" t="n">
        <x:v>46216</x:v>
      </x:c>
      <x:c r="H120" t="n">
        <x:v>256</x:v>
      </x:c>
      <x:c r="I120" t="n">
        <x:v>0</x:v>
      </x:c>
      <x:c r="J120" t="str">
        <x:v>Ninguna</x:v>
      </x:c>
      <x:c r="K120" t="str">
        <x:v>No</x:v>
      </x:c>
      <x:c r="L120" t="str">
        <x:v>Barcelona</x:v>
      </x:c>
      <x:c r="M120" t="n">
        <x:f>IF(AND(B120&gt;=DATE(2026,7,1),B120&lt;=DATE(2026,9,30),G120&gt;=DATE(2026,7,1),G120&lt;=DATE(2026,9,30)),1,0)</x:f>
        <x:v>1</x:v>
      </x:c>
      <x:c r="N120" t="n">
        <x:f>IF(M120=1,IF(G120&lt;=F120,1,0),0)</x:f>
        <x:v>0</x:v>
      </x:c>
      <x:c r="O120" t="n">
        <x:f>IF(AND(M120=1,K120="Sí",G120&gt;F120),1,0)</x:f>
        <x:v>0</x:v>
      </x:c>
      <x:c r="P120" t="n">
        <x:f>IF(AND(M120=1,I120&gt;0),1,0)</x:f>
        <x:v>0</x:v>
      </x:c>
      <x:c r="Q120" t="n">
        <x:f>IF(AND(B120&gt;=DATE(2026,7,1),B120&lt;=DATE(2026,9,30),G120&gt;=DATE(2026,10,1),G120&lt;=DATE(2026,10,7)),1,0)</x:f>
        <x:v>0</x:v>
      </x:c>
      <x:c r="R120" t="n">
        <x:f>IF(AND(B120&gt;=DATE(2026,7,1),B120&lt;=DATE(2026,9,30),G120&gt;DATE(2026,10,7)),1,0)</x:f>
        <x:v>0</x:v>
      </x:c>
      <x:c r="S120" t="n">
        <x:f>IF(AND(M120=1,J120&lt;&gt;"Ninguna"),1,0)</x:f>
        <x:v>0</x:v>
      </x:c>
    </x:row>
    <x:row r="121">
      <x:c r="A121" t="str">
        <x:v>PED-0120</x:v>
      </x:c>
      <x:c r="B121" s="12" t="n">
        <x:v>46226</x:v>
      </x:c>
      <x:c r="C121" t="str">
        <x:v>OfiPlus</x:v>
      </x:c>
      <x:c r="D121" t="str">
        <x:v>Consumibles</x:v>
      </x:c>
      <x:c r="E121" s="10" t="n">
        <x:v>3375.35</x:v>
      </x:c>
      <x:c r="F121" s="12" t="n">
        <x:v>46232</x:v>
      </x:c>
      <x:c r="G121" s="12" t="n">
        <x:v>46234</x:v>
      </x:c>
      <x:c r="H121" t="n">
        <x:v>179</x:v>
      </x:c>
      <x:c r="I121" t="n">
        <x:v>0</x:v>
      </x:c>
      <x:c r="J121" t="str">
        <x:v>Ninguna</x:v>
      </x:c>
      <x:c r="K121" t="str">
        <x:v>No</x:v>
      </x:c>
      <x:c r="L121" t="str">
        <x:v>Valencia</x:v>
      </x:c>
      <x:c r="M121" t="n">
        <x:f>IF(AND(B121&gt;=DATE(2026,7,1),B121&lt;=DATE(2026,9,30),G121&gt;=DATE(2026,7,1),G121&lt;=DATE(2026,9,30)),1,0)</x:f>
        <x:v>1</x:v>
      </x:c>
      <x:c r="N121" t="n">
        <x:f>IF(M121=1,IF(G121&lt;=F121,1,0),0)</x:f>
        <x:v>0</x:v>
      </x:c>
      <x:c r="O121" t="n">
        <x:f>IF(AND(M121=1,K121="Sí",G121&gt;F121),1,0)</x:f>
        <x:v>0</x:v>
      </x:c>
      <x:c r="P121" t="n">
        <x:f>IF(AND(M121=1,I121&gt;0),1,0)</x:f>
        <x:v>0</x:v>
      </x:c>
      <x:c r="Q121" t="n">
        <x:f>IF(AND(B121&gt;=DATE(2026,7,1),B121&lt;=DATE(2026,9,30),G121&gt;=DATE(2026,10,1),G121&lt;=DATE(2026,10,7)),1,0)</x:f>
        <x:v>0</x:v>
      </x:c>
      <x:c r="R121" t="n">
        <x:f>IF(AND(B121&gt;=DATE(2026,7,1),B121&lt;=DATE(2026,9,30),G121&gt;DATE(2026,10,7)),1,0)</x:f>
        <x:v>0</x:v>
      </x:c>
      <x:c r="S121" t="n">
        <x:f>IF(AND(M121=1,J121&lt;&gt;"Ninguna"),1,0)</x:f>
        <x:v>0</x:v>
      </x:c>
    </x:row>
    <x:row r="122">
      <x:c r="A122" t="str">
        <x:v>PED-0121</x:v>
      </x:c>
      <x:c r="B122" s="12" t="n">
        <x:v>46213</x:v>
      </x:c>
      <x:c r="C122" t="str">
        <x:v>ElectraSupply</x:v>
      </x:c>
      <x:c r="D122" t="str">
        <x:v>Componentes eléctricos</x:v>
      </x:c>
      <x:c r="E122" s="10" t="n">
        <x:v>1719.16</x:v>
      </x:c>
      <x:c r="F122" s="12" t="n">
        <x:v>46227</x:v>
      </x:c>
      <x:c r="G122" s="12" t="n">
        <x:v>46232</x:v>
      </x:c>
      <x:c r="H122" t="n">
        <x:v>122</x:v>
      </x:c>
      <x:c r="I122" t="n">
        <x:v>17</x:v>
      </x:c>
      <x:c r="J122" t="str">
        <x:v>Calidad</x:v>
      </x:c>
      <x:c r="K122" t="str">
        <x:v>No</x:v>
      </x:c>
      <x:c r="L122" t="str">
        <x:v>Zaragoza</x:v>
      </x:c>
      <x:c r="M122" t="n">
        <x:f>IF(AND(B122&gt;=DATE(2026,7,1),B122&lt;=DATE(2026,9,30),G122&gt;=DATE(2026,7,1),G122&lt;=DATE(2026,9,30)),1,0)</x:f>
        <x:v>1</x:v>
      </x:c>
      <x:c r="N122" t="n">
        <x:f>IF(M122=1,IF(G122&lt;=F122,1,0),0)</x:f>
        <x:v>0</x:v>
      </x:c>
      <x:c r="O122" t="n">
        <x:f>IF(AND(M122=1,K122="Sí",G122&gt;F122),1,0)</x:f>
        <x:v>0</x:v>
      </x:c>
      <x:c r="P122" t="n">
        <x:f>IF(AND(M122=1,I122&gt;0),1,0)</x:f>
        <x:v>1</x:v>
      </x:c>
      <x:c r="Q122" t="n">
        <x:f>IF(AND(B122&gt;=DATE(2026,7,1),B122&lt;=DATE(2026,9,30),G122&gt;=DATE(2026,10,1),G122&lt;=DATE(2026,10,7)),1,0)</x:f>
        <x:v>0</x:v>
      </x:c>
      <x:c r="R122" t="n">
        <x:f>IF(AND(B122&gt;=DATE(2026,7,1),B122&lt;=DATE(2026,9,30),G122&gt;DATE(2026,10,7)),1,0)</x:f>
        <x:v>0</x:v>
      </x:c>
      <x:c r="S122" t="n">
        <x:f>IF(AND(M122=1,J122&lt;&gt;"Ninguna"),1,0)</x:f>
        <x:v>1</x:v>
      </x:c>
    </x:row>
    <x:row r="123">
      <x:c r="A123" t="str">
        <x:v>PED-0122</x:v>
      </x:c>
      <x:c r="B123" s="12" t="n">
        <x:v>46279</x:v>
      </x:c>
      <x:c r="C123" t="str">
        <x:v>MecaParts</x:v>
      </x:c>
      <x:c r="D123" t="str">
        <x:v>Componentes mecánicos</x:v>
      </x:c>
      <x:c r="E123" s="10" t="n">
        <x:v>8604.29</x:v>
      </x:c>
      <x:c r="F123" s="12" t="n">
        <x:v>46287</x:v>
      </x:c>
      <x:c r="G123" s="12" t="n">
        <x:v>46290</x:v>
      </x:c>
      <x:c r="H123" t="n">
        <x:v>181</x:v>
      </x:c>
      <x:c r="I123" t="n">
        <x:v>19</x:v>
      </x:c>
      <x:c r="J123" t="str">
        <x:v>Calidad</x:v>
      </x:c>
      <x:c r="K123" t="str">
        <x:v>No</x:v>
      </x:c>
      <x:c r="L123" t="str">
        <x:v>Barcelona</x:v>
      </x:c>
      <x:c r="M123" t="n">
        <x:f>IF(AND(B123&gt;=DATE(2026,7,1),B123&lt;=DATE(2026,9,30),G123&gt;=DATE(2026,7,1),G123&lt;=DATE(2026,9,30)),1,0)</x:f>
        <x:v>1</x:v>
      </x:c>
      <x:c r="N123" t="n">
        <x:f>IF(M123=1,IF(G123&lt;=F123,1,0),0)</x:f>
        <x:v>0</x:v>
      </x:c>
      <x:c r="O123" t="n">
        <x:f>IF(AND(M123=1,K123="Sí",G123&gt;F123),1,0)</x:f>
        <x:v>0</x:v>
      </x:c>
      <x:c r="P123" t="n">
        <x:f>IF(AND(M123=1,I123&gt;0),1,0)</x:f>
        <x:v>1</x:v>
      </x:c>
      <x:c r="Q123" t="n">
        <x:f>IF(AND(B123&gt;=DATE(2026,7,1),B123&lt;=DATE(2026,9,30),G123&gt;=DATE(2026,10,1),G123&lt;=DATE(2026,10,7)),1,0)</x:f>
        <x:v>0</x:v>
      </x:c>
      <x:c r="R123" t="n">
        <x:f>IF(AND(B123&gt;=DATE(2026,7,1),B123&lt;=DATE(2026,9,30),G123&gt;DATE(2026,10,7)),1,0)</x:f>
        <x:v>0</x:v>
      </x:c>
      <x:c r="S123" t="n">
        <x:f>IF(AND(M123=1,J123&lt;&gt;"Ninguna"),1,0)</x:f>
        <x:v>1</x:v>
      </x:c>
    </x:row>
    <x:row r="124">
      <x:c r="A124" t="str">
        <x:v>PED-0123</x:v>
      </x:c>
      <x:c r="B124" s="12" t="n">
        <x:v>46237</x:v>
      </x:c>
      <x:c r="C124" t="str">
        <x:v>MetalNova</x:v>
      </x:c>
      <x:c r="D124" t="str">
        <x:v>Componentes mecánicos</x:v>
      </x:c>
      <x:c r="E124" s="10" t="n">
        <x:v>2655.48</x:v>
      </x:c>
      <x:c r="F124" s="12" t="n">
        <x:v>46246</x:v>
      </x:c>
      <x:c r="G124" s="12" t="n">
        <x:v>46244</x:v>
      </x:c>
      <x:c r="H124" t="n">
        <x:v>116</x:v>
      </x:c>
      <x:c r="I124" t="n">
        <x:v>0</x:v>
      </x:c>
      <x:c r="J124" t="str">
        <x:v>Ninguna</x:v>
      </x:c>
      <x:c r="K124" t="str">
        <x:v>No</x:v>
      </x:c>
      <x:c r="L124" t="str">
        <x:v>Barcelona</x:v>
      </x:c>
      <x:c r="M124" t="n">
        <x:f>IF(AND(B124&gt;=DATE(2026,7,1),B124&lt;=DATE(2026,9,30),G124&gt;=DATE(2026,7,1),G124&lt;=DATE(2026,9,30)),1,0)</x:f>
        <x:v>1</x:v>
      </x:c>
      <x:c r="N124" t="n">
        <x:f>IF(M124=1,IF(G124&lt;=F124,1,0),0)</x:f>
        <x:v>1</x:v>
      </x:c>
      <x:c r="O124" t="n">
        <x:f>IF(AND(M124=1,K124="Sí",G124&gt;F124),1,0)</x:f>
        <x:v>0</x:v>
      </x:c>
      <x:c r="P124" t="n">
        <x:f>IF(AND(M124=1,I124&gt;0),1,0)</x:f>
        <x:v>0</x:v>
      </x:c>
      <x:c r="Q124" t="n">
        <x:f>IF(AND(B124&gt;=DATE(2026,7,1),B124&lt;=DATE(2026,9,30),G124&gt;=DATE(2026,10,1),G124&lt;=DATE(2026,10,7)),1,0)</x:f>
        <x:v>0</x:v>
      </x:c>
      <x:c r="R124" t="n">
        <x:f>IF(AND(B124&gt;=DATE(2026,7,1),B124&lt;=DATE(2026,9,30),G124&gt;DATE(2026,10,7)),1,0)</x:f>
        <x:v>0</x:v>
      </x:c>
      <x:c r="S124" t="n">
        <x:f>IF(AND(M124=1,J124&lt;&gt;"Ninguna"),1,0)</x:f>
        <x:v>0</x:v>
      </x:c>
    </x:row>
    <x:row r="125">
      <x:c r="A125" t="str">
        <x:v>PED-0124</x:v>
      </x:c>
      <x:c r="B125" s="12" t="n">
        <x:v>46292</x:v>
      </x:c>
      <x:c r="C125" t="str">
        <x:v>ElectraSupply</x:v>
      </x:c>
      <x:c r="D125" t="str">
        <x:v>Componentes eléctricos</x:v>
      </x:c>
      <x:c r="E125" s="10" t="n">
        <x:v>2663.84</x:v>
      </x:c>
      <x:c r="F125" s="12" t="n">
        <x:v>46305</x:v>
      </x:c>
      <x:c r="G125" s="12" t="n">
        <x:v>46308</x:v>
      </x:c>
      <x:c r="H125" t="n">
        <x:v>97</x:v>
      </x:c>
      <x:c r="I125" t="n">
        <x:v>0</x:v>
      </x:c>
      <x:c r="J125" t="str">
        <x:v>Ninguna</x:v>
      </x:c>
      <x:c r="K125" t="str">
        <x:v>No</x:v>
      </x:c>
      <x:c r="L125" t="str">
        <x:v>Valencia</x:v>
      </x:c>
      <x:c r="M125" t="n">
        <x:f>IF(AND(B125&gt;=DATE(2026,7,1),B125&lt;=DATE(2026,9,30),G125&gt;=DATE(2026,7,1),G125&lt;=DATE(2026,9,30)),1,0)</x:f>
        <x:v>0</x:v>
      </x:c>
      <x:c r="N125" t="n">
        <x:f>IF(M125=1,IF(G125&lt;=F125,1,0),0)</x:f>
        <x:v>0</x:v>
      </x:c>
      <x:c r="O125" t="n">
        <x:f>IF(AND(M125=1,K125="Sí",G125&gt;F125),1,0)</x:f>
        <x:v>0</x:v>
      </x:c>
      <x:c r="P125" t="n">
        <x:f>IF(AND(M125=1,I125&gt;0),1,0)</x:f>
        <x:v>0</x:v>
      </x:c>
      <x:c r="Q125" t="n">
        <x:f>IF(AND(B125&gt;=DATE(2026,7,1),B125&lt;=DATE(2026,9,30),G125&gt;=DATE(2026,10,1),G125&lt;=DATE(2026,10,7)),1,0)</x:f>
        <x:v>0</x:v>
      </x:c>
      <x:c r="R125" t="n">
        <x:f>IF(AND(B125&gt;=DATE(2026,7,1),B125&lt;=DATE(2026,9,30),G125&gt;DATE(2026,10,7)),1,0)</x:f>
        <x:v>1</x:v>
      </x:c>
      <x:c r="S125" t="n">
        <x:f>IF(AND(M125=1,J125&lt;&gt;"Ninguna"),1,0)</x:f>
        <x:v>0</x:v>
      </x:c>
    </x:row>
    <x:row r="126">
      <x:c r="A126" t="str">
        <x:v>PED-0125</x:v>
      </x:c>
      <x:c r="B126" s="12" t="n">
        <x:v>46241</x:v>
      </x:c>
      <x:c r="C126" t="str">
        <x:v>ElectraSupply</x:v>
      </x:c>
      <x:c r="D126" t="str">
        <x:v>Componentes eléctricos</x:v>
      </x:c>
      <x:c r="E126" s="10" t="n">
        <x:v>3863.41</x:v>
      </x:c>
      <x:c r="F126" s="12" t="n">
        <x:v>46255</x:v>
      </x:c>
      <x:c r="G126" s="12" t="n">
        <x:v>46261</x:v>
      </x:c>
      <x:c r="H126" t="n">
        <x:v>210</x:v>
      </x:c>
      <x:c r="I126" t="n">
        <x:v>0</x:v>
      </x:c>
      <x:c r="J126" t="str">
        <x:v>Documentación</x:v>
      </x:c>
      <x:c r="K126" t="str">
        <x:v>Sí</x:v>
      </x:c>
      <x:c r="L126" t="str">
        <x:v>Zaragoza</x:v>
      </x:c>
      <x:c r="M126" t="n">
        <x:f>IF(AND(B126&gt;=DATE(2026,7,1),B126&lt;=DATE(2026,9,30),G126&gt;=DATE(2026,7,1),G126&lt;=DATE(2026,9,30)),1,0)</x:f>
        <x:v>1</x:v>
      </x:c>
      <x:c r="N126" t="n">
        <x:f>IF(M126=1,IF(G126&lt;=F126,1,0),0)</x:f>
        <x:v>0</x:v>
      </x:c>
      <x:c r="O126" t="n">
        <x:f>IF(AND(M126=1,K126="Sí",G126&gt;F126),1,0)</x:f>
        <x:v>1</x:v>
      </x:c>
      <x:c r="P126" t="n">
        <x:f>IF(AND(M126=1,I126&gt;0),1,0)</x:f>
        <x:v>0</x:v>
      </x:c>
      <x:c r="Q126" t="n">
        <x:f>IF(AND(B126&gt;=DATE(2026,7,1),B126&lt;=DATE(2026,9,30),G126&gt;=DATE(2026,10,1),G126&lt;=DATE(2026,10,7)),1,0)</x:f>
        <x:v>0</x:v>
      </x:c>
      <x:c r="R126" t="n">
        <x:f>IF(AND(B126&gt;=DATE(2026,7,1),B126&lt;=DATE(2026,9,30),G126&gt;DATE(2026,10,7)),1,0)</x:f>
        <x:v>0</x:v>
      </x:c>
      <x:c r="S126" t="n">
        <x:f>IF(AND(M126=1,J126&lt;&gt;"Ninguna"),1,0)</x:f>
        <x:v>1</x:v>
      </x:c>
    </x:row>
    <x:row r="127">
      <x:c r="A127" t="str">
        <x:v>PED-0126</x:v>
      </x:c>
      <x:c r="B127" s="12" t="n">
        <x:v>46248</x:v>
      </x:c>
      <x:c r="C127" t="str">
        <x:v>MecaParts</x:v>
      </x:c>
      <x:c r="D127" t="str">
        <x:v>Componentes mecánicos</x:v>
      </x:c>
      <x:c r="E127" s="10" t="n">
        <x:v>1366.78</x:v>
      </x:c>
      <x:c r="F127" s="12" t="n">
        <x:v>46256</x:v>
      </x:c>
      <x:c r="G127" s="12" t="n">
        <x:v>46255</x:v>
      </x:c>
      <x:c r="H127" t="n">
        <x:v>151</x:v>
      </x:c>
      <x:c r="I127" t="n">
        <x:v>0</x:v>
      </x:c>
      <x:c r="J127" t="str">
        <x:v>Ninguna</x:v>
      </x:c>
      <x:c r="K127" t="str">
        <x:v>No</x:v>
      </x:c>
      <x:c r="L127" t="str">
        <x:v>Barcelona</x:v>
      </x:c>
      <x:c r="M127" t="n">
        <x:f>IF(AND(B127&gt;=DATE(2026,7,1),B127&lt;=DATE(2026,9,30),G127&gt;=DATE(2026,7,1),G127&lt;=DATE(2026,9,30)),1,0)</x:f>
        <x:v>1</x:v>
      </x:c>
      <x:c r="N127" t="n">
        <x:f>IF(M127=1,IF(G127&lt;=F127,1,0),0)</x:f>
        <x:v>1</x:v>
      </x:c>
      <x:c r="O127" t="n">
        <x:f>IF(AND(M127=1,K127="Sí",G127&gt;F127),1,0)</x:f>
        <x:v>0</x:v>
      </x:c>
      <x:c r="P127" t="n">
        <x:f>IF(AND(M127=1,I127&gt;0),1,0)</x:f>
        <x:v>0</x:v>
      </x:c>
      <x:c r="Q127" t="n">
        <x:f>IF(AND(B127&gt;=DATE(2026,7,1),B127&lt;=DATE(2026,9,30),G127&gt;=DATE(2026,10,1),G127&lt;=DATE(2026,10,7)),1,0)</x:f>
        <x:v>0</x:v>
      </x:c>
      <x:c r="R127" t="n">
        <x:f>IF(AND(B127&gt;=DATE(2026,7,1),B127&lt;=DATE(2026,9,30),G127&gt;DATE(2026,10,7)),1,0)</x:f>
        <x:v>0</x:v>
      </x:c>
      <x:c r="S127" t="n">
        <x:f>IF(AND(M127=1,J127&lt;&gt;"Ninguna"),1,0)</x:f>
        <x:v>0</x:v>
      </x:c>
    </x:row>
    <x:row r="128">
      <x:c r="A128" t="str">
        <x:v>PED-0127</x:v>
      </x:c>
      <x:c r="B128" s="12" t="n">
        <x:v>46253</x:v>
      </x:c>
      <x:c r="C128" t="str">
        <x:v>ElectraSupply</x:v>
      </x:c>
      <x:c r="D128" t="str">
        <x:v>Componentes eléctricos</x:v>
      </x:c>
      <x:c r="E128" s="10" t="n">
        <x:v>11898.82</x:v>
      </x:c>
      <x:c r="F128" s="12" t="n">
        <x:v>46267</x:v>
      </x:c>
      <x:c r="G128" s="12" t="n">
        <x:v>46272</x:v>
      </x:c>
      <x:c r="H128" t="n">
        <x:v>259</x:v>
      </x:c>
      <x:c r="I128" t="n">
        <x:v>0</x:v>
      </x:c>
      <x:c r="J128" t="str">
        <x:v>Ninguna</x:v>
      </x:c>
      <x:c r="K128" t="str">
        <x:v>No</x:v>
      </x:c>
      <x:c r="L128" t="str">
        <x:v>Valencia</x:v>
      </x:c>
      <x:c r="M128" t="n">
        <x:f>IF(AND(B128&gt;=DATE(2026,7,1),B128&lt;=DATE(2026,9,30),G128&gt;=DATE(2026,7,1),G128&lt;=DATE(2026,9,30)),1,0)</x:f>
        <x:v>1</x:v>
      </x:c>
      <x:c r="N128" t="n">
        <x:f>IF(M128=1,IF(G128&lt;=F128,1,0),0)</x:f>
        <x:v>0</x:v>
      </x:c>
      <x:c r="O128" t="n">
        <x:f>IF(AND(M128=1,K128="Sí",G128&gt;F128),1,0)</x:f>
        <x:v>0</x:v>
      </x:c>
      <x:c r="P128" t="n">
        <x:f>IF(AND(M128=1,I128&gt;0),1,0)</x:f>
        <x:v>0</x:v>
      </x:c>
      <x:c r="Q128" t="n">
        <x:f>IF(AND(B128&gt;=DATE(2026,7,1),B128&lt;=DATE(2026,9,30),G128&gt;=DATE(2026,10,1),G128&lt;=DATE(2026,10,7)),1,0)</x:f>
        <x:v>0</x:v>
      </x:c>
      <x:c r="R128" t="n">
        <x:f>IF(AND(B128&gt;=DATE(2026,7,1),B128&lt;=DATE(2026,9,30),G128&gt;DATE(2026,10,7)),1,0)</x:f>
        <x:v>0</x:v>
      </x:c>
      <x:c r="S128" t="n">
        <x:f>IF(AND(M128=1,J128&lt;&gt;"Ninguna"),1,0)</x:f>
        <x:v>0</x:v>
      </x:c>
    </x:row>
    <x:row r="129">
      <x:c r="A129" t="str">
        <x:v>PED-0128</x:v>
      </x:c>
      <x:c r="B129" s="12" t="n">
        <x:v>46208</x:v>
      </x:c>
      <x:c r="C129" t="str">
        <x:v>MetalNova</x:v>
      </x:c>
      <x:c r="D129" t="str">
        <x:v>Materia prima</x:v>
      </x:c>
      <x:c r="E129" s="10" t="n">
        <x:v>12677.15</x:v>
      </x:c>
      <x:c r="F129" s="12" t="n">
        <x:v>46217</x:v>
      </x:c>
      <x:c r="G129" s="12" t="n">
        <x:v>46217</x:v>
      </x:c>
      <x:c r="H129" t="n">
        <x:v>396</x:v>
      </x:c>
      <x:c r="I129" t="n">
        <x:v>0</x:v>
      </x:c>
      <x:c r="J129" t="str">
        <x:v>Daño transporte</x:v>
      </x:c>
      <x:c r="K129" t="str">
        <x:v>No</x:v>
      </x:c>
      <x:c r="L129" t="str">
        <x:v>Valencia</x:v>
      </x:c>
      <x:c r="M129" t="n">
        <x:f>IF(AND(B129&gt;=DATE(2026,7,1),B129&lt;=DATE(2026,9,30),G129&gt;=DATE(2026,7,1),G129&lt;=DATE(2026,9,30)),1,0)</x:f>
        <x:v>1</x:v>
      </x:c>
      <x:c r="N129" t="n">
        <x:f>IF(M129=1,IF(G129&lt;=F129,1,0),0)</x:f>
        <x:v>1</x:v>
      </x:c>
      <x:c r="O129" t="n">
        <x:f>IF(AND(M129=1,K129="Sí",G129&gt;F129),1,0)</x:f>
        <x:v>0</x:v>
      </x:c>
      <x:c r="P129" t="n">
        <x:f>IF(AND(M129=1,I129&gt;0),1,0)</x:f>
        <x:v>0</x:v>
      </x:c>
      <x:c r="Q129" t="n">
        <x:f>IF(AND(B129&gt;=DATE(2026,7,1),B129&lt;=DATE(2026,9,30),G129&gt;=DATE(2026,10,1),G129&lt;=DATE(2026,10,7)),1,0)</x:f>
        <x:v>0</x:v>
      </x:c>
      <x:c r="R129" t="n">
        <x:f>IF(AND(B129&gt;=DATE(2026,7,1),B129&lt;=DATE(2026,9,30),G129&gt;DATE(2026,10,7)),1,0)</x:f>
        <x:v>0</x:v>
      </x:c>
      <x:c r="S129" t="n">
        <x:f>IF(AND(M129=1,J129&lt;&gt;"Ninguna"),1,0)</x:f>
        <x:v>1</x:v>
      </x:c>
    </x:row>
    <x:row r="130">
      <x:c r="A130" t="str">
        <x:v>PED-0129</x:v>
      </x:c>
      <x:c r="B130" s="12" t="n">
        <x:v>46268</x:v>
      </x:c>
      <x:c r="C130" t="str">
        <x:v>MetalNova</x:v>
      </x:c>
      <x:c r="D130" t="str">
        <x:v>Componentes mecánicos</x:v>
      </x:c>
      <x:c r="E130" s="10" t="n">
        <x:v>1543.65</x:v>
      </x:c>
      <x:c r="F130" s="12" t="n">
        <x:v>46278</x:v>
      </x:c>
      <x:c r="G130" s="12" t="n">
        <x:v>46281</x:v>
      </x:c>
      <x:c r="H130" t="n">
        <x:v>123</x:v>
      </x:c>
      <x:c r="I130" t="n">
        <x:v>0</x:v>
      </x:c>
      <x:c r="J130" t="str">
        <x:v>Ninguna</x:v>
      </x:c>
      <x:c r="K130" t="str">
        <x:v>No</x:v>
      </x:c>
      <x:c r="L130" t="str">
        <x:v>Valencia</x:v>
      </x:c>
      <x:c r="M130" t="n">
        <x:f>IF(AND(B130&gt;=DATE(2026,7,1),B130&lt;=DATE(2026,9,30),G130&gt;=DATE(2026,7,1),G130&lt;=DATE(2026,9,30)),1,0)</x:f>
        <x:v>1</x:v>
      </x:c>
      <x:c r="N130" t="n">
        <x:f>IF(M130=1,IF(G130&lt;=F130,1,0),0)</x:f>
        <x:v>0</x:v>
      </x:c>
      <x:c r="O130" t="n">
        <x:f>IF(AND(M130=1,K130="Sí",G130&gt;F130),1,0)</x:f>
        <x:v>0</x:v>
      </x:c>
      <x:c r="P130" t="n">
        <x:f>IF(AND(M130=1,I130&gt;0),1,0)</x:f>
        <x:v>0</x:v>
      </x:c>
      <x:c r="Q130" t="n">
        <x:f>IF(AND(B130&gt;=DATE(2026,7,1),B130&lt;=DATE(2026,9,30),G130&gt;=DATE(2026,10,1),G130&lt;=DATE(2026,10,7)),1,0)</x:f>
        <x:v>0</x:v>
      </x:c>
      <x:c r="R130" t="n">
        <x:f>IF(AND(B130&gt;=DATE(2026,7,1),B130&lt;=DATE(2026,9,30),G130&gt;DATE(2026,10,7)),1,0)</x:f>
        <x:v>0</x:v>
      </x:c>
      <x:c r="S130" t="n">
        <x:f>IF(AND(M130=1,J130&lt;&gt;"Ninguna"),1,0)</x:f>
        <x:v>0</x:v>
      </x:c>
    </x:row>
    <x:row r="131">
      <x:c r="A131" t="str">
        <x:v>PED-0130</x:v>
      </x:c>
      <x:c r="B131" s="12" t="n">
        <x:v>46224</x:v>
      </x:c>
      <x:c r="C131" t="str">
        <x:v>OfiPlus</x:v>
      </x:c>
      <x:c r="D131" t="str">
        <x:v>Consumibles</x:v>
      </x:c>
      <x:c r="E131" s="10" t="n">
        <x:v>2083.99</x:v>
      </x:c>
      <x:c r="F131" s="12" t="n">
        <x:v>46229</x:v>
      </x:c>
      <x:c r="G131" s="12" t="n">
        <x:v>46228</x:v>
      </x:c>
      <x:c r="H131" t="n">
        <x:v>75</x:v>
      </x:c>
      <x:c r="I131" t="n">
        <x:v>0</x:v>
      </x:c>
      <x:c r="J131" t="str">
        <x:v>Daño transporte</x:v>
      </x:c>
      <x:c r="K131" t="str">
        <x:v>No</x:v>
      </x:c>
      <x:c r="L131" t="str">
        <x:v>Valencia</x:v>
      </x:c>
      <x:c r="M131" t="n">
        <x:f>IF(AND(B131&gt;=DATE(2026,7,1),B131&lt;=DATE(2026,9,30),G131&gt;=DATE(2026,7,1),G131&lt;=DATE(2026,9,30)),1,0)</x:f>
        <x:v>1</x:v>
      </x:c>
      <x:c r="N131" t="n">
        <x:f>IF(M131=1,IF(G131&lt;=F131,1,0),0)</x:f>
        <x:v>1</x:v>
      </x:c>
      <x:c r="O131" t="n">
        <x:f>IF(AND(M131=1,K131="Sí",G131&gt;F131),1,0)</x:f>
        <x:v>0</x:v>
      </x:c>
      <x:c r="P131" t="n">
        <x:f>IF(AND(M131=1,I131&gt;0),1,0)</x:f>
        <x:v>0</x:v>
      </x:c>
      <x:c r="Q131" t="n">
        <x:f>IF(AND(B131&gt;=DATE(2026,7,1),B131&lt;=DATE(2026,9,30),G131&gt;=DATE(2026,10,1),G131&lt;=DATE(2026,10,7)),1,0)</x:f>
        <x:v>0</x:v>
      </x:c>
      <x:c r="R131" t="n">
        <x:f>IF(AND(B131&gt;=DATE(2026,7,1),B131&lt;=DATE(2026,9,30),G131&gt;DATE(2026,10,7)),1,0)</x:f>
        <x:v>0</x:v>
      </x:c>
      <x:c r="S131" t="n">
        <x:f>IF(AND(M131=1,J131&lt;&gt;"Ninguna"),1,0)</x:f>
        <x:v>1</x:v>
      </x:c>
    </x:row>
    <x:row r="132">
      <x:c r="A132" t="str">
        <x:v>PED-0131</x:v>
      </x:c>
      <x:c r="B132" s="12" t="n">
        <x:v>46249</x:v>
      </x:c>
      <x:c r="C132" t="str">
        <x:v>MecaParts</x:v>
      </x:c>
      <x:c r="D132" t="str">
        <x:v>Componentes mecánicos</x:v>
      </x:c>
      <x:c r="E132" s="10" t="n">
        <x:v>4924.06</x:v>
      </x:c>
      <x:c r="F132" s="12" t="n">
        <x:v>46258</x:v>
      </x:c>
      <x:c r="G132" s="12" t="n">
        <x:v>46256</x:v>
      </x:c>
      <x:c r="H132" t="n">
        <x:v>366</x:v>
      </x:c>
      <x:c r="I132" t="n">
        <x:v>0</x:v>
      </x:c>
      <x:c r="J132" t="str">
        <x:v>Ninguna</x:v>
      </x:c>
      <x:c r="K132" t="str">
        <x:v>No</x:v>
      </x:c>
      <x:c r="L132" t="str">
        <x:v>Barcelona</x:v>
      </x:c>
      <x:c r="M132" t="n">
        <x:f>IF(AND(B132&gt;=DATE(2026,7,1),B132&lt;=DATE(2026,9,30),G132&gt;=DATE(2026,7,1),G132&lt;=DATE(2026,9,30)),1,0)</x:f>
        <x:v>1</x:v>
      </x:c>
      <x:c r="N132" t="n">
        <x:f>IF(M132=1,IF(G132&lt;=F132,1,0),0)</x:f>
        <x:v>1</x:v>
      </x:c>
      <x:c r="O132" t="n">
        <x:f>IF(AND(M132=1,K132="Sí",G132&gt;F132),1,0)</x:f>
        <x:v>0</x:v>
      </x:c>
      <x:c r="P132" t="n">
        <x:f>IF(AND(M132=1,I132&gt;0),1,0)</x:f>
        <x:v>0</x:v>
      </x:c>
      <x:c r="Q132" t="n">
        <x:f>IF(AND(B132&gt;=DATE(2026,7,1),B132&lt;=DATE(2026,9,30),G132&gt;=DATE(2026,10,1),G132&lt;=DATE(2026,10,7)),1,0)</x:f>
        <x:v>0</x:v>
      </x:c>
      <x:c r="R132" t="n">
        <x:f>IF(AND(B132&gt;=DATE(2026,7,1),B132&lt;=DATE(2026,9,30),G132&gt;DATE(2026,10,7)),1,0)</x:f>
        <x:v>0</x:v>
      </x:c>
      <x:c r="S132" t="n">
        <x:f>IF(AND(M132=1,J132&lt;&gt;"Ninguna"),1,0)</x:f>
        <x:v>0</x:v>
      </x:c>
    </x:row>
    <x:row r="133">
      <x:c r="A133" t="str">
        <x:v>PED-0132</x:v>
      </x:c>
      <x:c r="B133" s="12" t="n">
        <x:v>46262</x:v>
      </x:c>
      <x:c r="C133" t="str">
        <x:v>OfiPlus</x:v>
      </x:c>
      <x:c r="D133" t="str">
        <x:v>Consumibles</x:v>
      </x:c>
      <x:c r="E133" s="10" t="n">
        <x:v>1452.77</x:v>
      </x:c>
      <x:c r="F133" s="12" t="n">
        <x:v>46267</x:v>
      </x:c>
      <x:c r="G133" s="12" t="n">
        <x:v>46268</x:v>
      </x:c>
      <x:c r="H133" t="n">
        <x:v>76</x:v>
      </x:c>
      <x:c r="I133" t="n">
        <x:v>0</x:v>
      </x:c>
      <x:c r="J133" t="str">
        <x:v>Documentación</x:v>
      </x:c>
      <x:c r="K133" t="str">
        <x:v>No</x:v>
      </x:c>
      <x:c r="L133" t="str">
        <x:v>Valencia</x:v>
      </x:c>
      <x:c r="M133" t="n">
        <x:f>IF(AND(B133&gt;=DATE(2026,7,1),B133&lt;=DATE(2026,9,30),G133&gt;=DATE(2026,7,1),G133&lt;=DATE(2026,9,30)),1,0)</x:f>
        <x:v>1</x:v>
      </x:c>
      <x:c r="N133" t="n">
        <x:f>IF(M133=1,IF(G133&lt;=F133,1,0),0)</x:f>
        <x:v>0</x:v>
      </x:c>
      <x:c r="O133" t="n">
        <x:f>IF(AND(M133=1,K133="Sí",G133&gt;F133),1,0)</x:f>
        <x:v>0</x:v>
      </x:c>
      <x:c r="P133" t="n">
        <x:f>IF(AND(M133=1,I133&gt;0),1,0)</x:f>
        <x:v>0</x:v>
      </x:c>
      <x:c r="Q133" t="n">
        <x:f>IF(AND(B133&gt;=DATE(2026,7,1),B133&lt;=DATE(2026,9,30),G133&gt;=DATE(2026,10,1),G133&lt;=DATE(2026,10,7)),1,0)</x:f>
        <x:v>0</x:v>
      </x:c>
      <x:c r="R133" t="n">
        <x:f>IF(AND(B133&gt;=DATE(2026,7,1),B133&lt;=DATE(2026,9,30),G133&gt;DATE(2026,10,7)),1,0)</x:f>
        <x:v>0</x:v>
      </x:c>
      <x:c r="S133" t="n">
        <x:f>IF(AND(M133=1,J133&lt;&gt;"Ninguna"),1,0)</x:f>
        <x:v>1</x:v>
      </x:c>
    </x:row>
    <x:row r="134">
      <x:c r="A134" t="str">
        <x:v>PED-0133</x:v>
      </x:c>
      <x:c r="B134" s="12" t="n">
        <x:v>46237</x:v>
      </x:c>
      <x:c r="C134" t="str">
        <x:v>MetalNova</x:v>
      </x:c>
      <x:c r="D134" t="str">
        <x:v>Componentes mecánicos</x:v>
      </x:c>
      <x:c r="E134" s="10" t="n">
        <x:v>633.22</x:v>
      </x:c>
      <x:c r="F134" s="12" t="n">
        <x:v>46249</x:v>
      </x:c>
      <x:c r="G134" s="12" t="n">
        <x:v>46251</x:v>
      </x:c>
      <x:c r="H134" t="n">
        <x:v>56</x:v>
      </x:c>
      <x:c r="I134" t="n">
        <x:v>0</x:v>
      </x:c>
      <x:c r="J134" t="str">
        <x:v>Ninguna</x:v>
      </x:c>
      <x:c r="K134" t="str">
        <x:v>No</x:v>
      </x:c>
      <x:c r="L134" t="str">
        <x:v>Valencia</x:v>
      </x:c>
      <x:c r="M134" t="n">
        <x:f>IF(AND(B134&gt;=DATE(2026,7,1),B134&lt;=DATE(2026,9,30),G134&gt;=DATE(2026,7,1),G134&lt;=DATE(2026,9,30)),1,0)</x:f>
        <x:v>1</x:v>
      </x:c>
      <x:c r="N134" t="n">
        <x:f>IF(M134=1,IF(G134&lt;=F134,1,0),0)</x:f>
        <x:v>0</x:v>
      </x:c>
      <x:c r="O134" t="n">
        <x:f>IF(AND(M134=1,K134="Sí",G134&gt;F134),1,0)</x:f>
        <x:v>0</x:v>
      </x:c>
      <x:c r="P134" t="n">
        <x:f>IF(AND(M134=1,I134&gt;0),1,0)</x:f>
        <x:v>0</x:v>
      </x:c>
      <x:c r="Q134" t="n">
        <x:f>IF(AND(B134&gt;=DATE(2026,7,1),B134&lt;=DATE(2026,9,30),G134&gt;=DATE(2026,10,1),G134&lt;=DATE(2026,10,7)),1,0)</x:f>
        <x:v>0</x:v>
      </x:c>
      <x:c r="R134" t="n">
        <x:f>IF(AND(B134&gt;=DATE(2026,7,1),B134&lt;=DATE(2026,9,30),G134&gt;DATE(2026,10,7)),1,0)</x:f>
        <x:v>0</x:v>
      </x:c>
      <x:c r="S134" t="n">
        <x:f>IF(AND(M134=1,J134&lt;&gt;"Ninguna"),1,0)</x:f>
        <x:v>0</x:v>
      </x:c>
    </x:row>
    <x:row r="135">
      <x:c r="A135" t="str">
        <x:v>PED-0134</x:v>
      </x:c>
      <x:c r="B135" s="12" t="n">
        <x:v>46210</x:v>
      </x:c>
      <x:c r="C135" t="str">
        <x:v>MetalNova</x:v>
      </x:c>
      <x:c r="D135" t="str">
        <x:v>Componentes mecánicos</x:v>
      </x:c>
      <x:c r="E135" s="10" t="n">
        <x:v>6371.73</x:v>
      </x:c>
      <x:c r="F135" s="12" t="n">
        <x:v>46221</x:v>
      </x:c>
      <x:c r="G135" s="12" t="n">
        <x:v>46220</x:v>
      </x:c>
      <x:c r="H135" t="n">
        <x:v>220</x:v>
      </x:c>
      <x:c r="I135" t="n">
        <x:v>22</x:v>
      </x:c>
      <x:c r="J135" t="str">
        <x:v>Calidad</x:v>
      </x:c>
      <x:c r="K135" t="str">
        <x:v>Sí</x:v>
      </x:c>
      <x:c r="L135" t="str">
        <x:v>Zaragoza</x:v>
      </x:c>
      <x:c r="M135" t="n">
        <x:f>IF(AND(B135&gt;=DATE(2026,7,1),B135&lt;=DATE(2026,9,30),G135&gt;=DATE(2026,7,1),G135&lt;=DATE(2026,9,30)),1,0)</x:f>
        <x:v>1</x:v>
      </x:c>
      <x:c r="N135" t="n">
        <x:f>IF(M135=1,IF(G135&lt;=F135,1,0),0)</x:f>
        <x:v>1</x:v>
      </x:c>
      <x:c r="O135" t="n">
        <x:f>IF(AND(M135=1,K135="Sí",G135&gt;F135),1,0)</x:f>
        <x:v>0</x:v>
      </x:c>
      <x:c r="P135" t="n">
        <x:f>IF(AND(M135=1,I135&gt;0),1,0)</x:f>
        <x:v>1</x:v>
      </x:c>
      <x:c r="Q135" t="n">
        <x:f>IF(AND(B135&gt;=DATE(2026,7,1),B135&lt;=DATE(2026,9,30),G135&gt;=DATE(2026,10,1),G135&lt;=DATE(2026,10,7)),1,0)</x:f>
        <x:v>0</x:v>
      </x:c>
      <x:c r="R135" t="n">
        <x:f>IF(AND(B135&gt;=DATE(2026,7,1),B135&lt;=DATE(2026,9,30),G135&gt;DATE(2026,10,7)),1,0)</x:f>
        <x:v>0</x:v>
      </x:c>
      <x:c r="S135" t="n">
        <x:f>IF(AND(M135=1,J135&lt;&gt;"Ninguna"),1,0)</x:f>
        <x:v>1</x:v>
      </x:c>
    </x:row>
    <x:row r="136">
      <x:c r="A136" t="str">
        <x:v>PED-0135</x:v>
      </x:c>
      <x:c r="B136" s="12" t="n">
        <x:v>46238</x:v>
      </x:c>
      <x:c r="C136" t="str">
        <x:v>MetalNova</x:v>
      </x:c>
      <x:c r="D136" t="str">
        <x:v>Componentes mecánicos</x:v>
      </x:c>
      <x:c r="E136" s="10" t="n">
        <x:v>8643.14</x:v>
      </x:c>
      <x:c r="F136" s="12" t="n">
        <x:v>46248</x:v>
      </x:c>
      <x:c r="G136" s="12" t="n">
        <x:v>46249</x:v>
      </x:c>
      <x:c r="H136" t="n">
        <x:v>270</x:v>
      </x:c>
      <x:c r="I136" t="n">
        <x:v>0</x:v>
      </x:c>
      <x:c r="J136" t="str">
        <x:v>Ninguna</x:v>
      </x:c>
      <x:c r="K136" t="str">
        <x:v>No</x:v>
      </x:c>
      <x:c r="L136" t="str">
        <x:v>Barcelona</x:v>
      </x:c>
      <x:c r="M136" t="n">
        <x:f>IF(AND(B136&gt;=DATE(2026,7,1),B136&lt;=DATE(2026,9,30),G136&gt;=DATE(2026,7,1),G136&lt;=DATE(2026,9,30)),1,0)</x:f>
        <x:v>1</x:v>
      </x:c>
      <x:c r="N136" t="n">
        <x:f>IF(M136=1,IF(G136&lt;=F136,1,0),0)</x:f>
        <x:v>0</x:v>
      </x:c>
      <x:c r="O136" t="n">
        <x:f>IF(AND(M136=1,K136="Sí",G136&gt;F136),1,0)</x:f>
        <x:v>0</x:v>
      </x:c>
      <x:c r="P136" t="n">
        <x:f>IF(AND(M136=1,I136&gt;0),1,0)</x:f>
        <x:v>0</x:v>
      </x:c>
      <x:c r="Q136" t="n">
        <x:f>IF(AND(B136&gt;=DATE(2026,7,1),B136&lt;=DATE(2026,9,30),G136&gt;=DATE(2026,10,1),G136&lt;=DATE(2026,10,7)),1,0)</x:f>
        <x:v>0</x:v>
      </x:c>
      <x:c r="R136" t="n">
        <x:f>IF(AND(B136&gt;=DATE(2026,7,1),B136&lt;=DATE(2026,9,30),G136&gt;DATE(2026,10,7)),1,0)</x:f>
        <x:v>0</x:v>
      </x:c>
      <x:c r="S136" t="n">
        <x:f>IF(AND(M136=1,J136&lt;&gt;"Ninguna"),1,0)</x:f>
        <x:v>0</x:v>
      </x:c>
    </x:row>
    <x:row r="137">
      <x:c r="A137" t="str">
        <x:v>PED-0136</x:v>
      </x:c>
      <x:c r="B137" s="12" t="n">
        <x:v>46290</x:v>
      </x:c>
      <x:c r="C137" t="str">
        <x:v>MetalNova</x:v>
      </x:c>
      <x:c r="D137" t="str">
        <x:v>Componentes mecánicos</x:v>
      </x:c>
      <x:c r="E137" s="10" t="n">
        <x:v>8217.21</x:v>
      </x:c>
      <x:c r="F137" s="12" t="n">
        <x:v>46299</x:v>
      </x:c>
      <x:c r="G137" s="12" t="n">
        <x:v>46299</x:v>
      </x:c>
      <x:c r="H137" t="n">
        <x:v>185</x:v>
      </x:c>
      <x:c r="I137" t="n">
        <x:v>0</x:v>
      </x:c>
      <x:c r="J137" t="str">
        <x:v>Ninguna</x:v>
      </x:c>
      <x:c r="K137" t="str">
        <x:v>No</x:v>
      </x:c>
      <x:c r="L137" t="str">
        <x:v>Barcelona</x:v>
      </x:c>
      <x:c r="M137" t="n">
        <x:f>IF(AND(B137&gt;=DATE(2026,7,1),B137&lt;=DATE(2026,9,30),G137&gt;=DATE(2026,7,1),G137&lt;=DATE(2026,9,30)),1,0)</x:f>
        <x:v>0</x:v>
      </x:c>
      <x:c r="N137" t="n">
        <x:f>IF(M137=1,IF(G137&lt;=F137,1,0),0)</x:f>
        <x:v>0</x:v>
      </x:c>
      <x:c r="O137" t="n">
        <x:f>IF(AND(M137=1,K137="Sí",G137&gt;F137),1,0)</x:f>
        <x:v>0</x:v>
      </x:c>
      <x:c r="P137" t="n">
        <x:f>IF(AND(M137=1,I137&gt;0),1,0)</x:f>
        <x:v>0</x:v>
      </x:c>
      <x:c r="Q137" t="n">
        <x:f>IF(AND(B137&gt;=DATE(2026,7,1),B137&lt;=DATE(2026,9,30),G137&gt;=DATE(2026,10,1),G137&lt;=DATE(2026,10,7)),1,0)</x:f>
        <x:v>1</x:v>
      </x:c>
      <x:c r="R137" t="n">
        <x:f>IF(AND(B137&gt;=DATE(2026,7,1),B137&lt;=DATE(2026,9,30),G137&gt;DATE(2026,10,7)),1,0)</x:f>
        <x:v>0</x:v>
      </x:c>
      <x:c r="S137" t="n">
        <x:f>IF(AND(M137=1,J137&lt;&gt;"Ninguna"),1,0)</x:f>
        <x:v>0</x:v>
      </x:c>
    </x:row>
    <x:row r="138">
      <x:c r="A138" t="str">
        <x:v>PED-0137</x:v>
      </x:c>
      <x:c r="B138" s="12" t="n">
        <x:v>46235</x:v>
      </x:c>
      <x:c r="C138" t="str">
        <x:v>PackPro</x:v>
      </x:c>
      <x:c r="D138" t="str">
        <x:v>Embalaje</x:v>
      </x:c>
      <x:c r="E138" s="10" t="n">
        <x:v>2178.21</x:v>
      </x:c>
      <x:c r="F138" s="12" t="n">
        <x:v>46240</x:v>
      </x:c>
      <x:c r="G138" s="12" t="n">
        <x:v>46241</x:v>
      </x:c>
      <x:c r="H138" t="n">
        <x:v>130</x:v>
      </x:c>
      <x:c r="I138" t="n">
        <x:v>0</x:v>
      </x:c>
      <x:c r="J138" t="str">
        <x:v>Ninguna</x:v>
      </x:c>
      <x:c r="K138" t="str">
        <x:v>No</x:v>
      </x:c>
      <x:c r="L138" t="str">
        <x:v>Zaragoza</x:v>
      </x:c>
      <x:c r="M138" t="n">
        <x:f>IF(AND(B138&gt;=DATE(2026,7,1),B138&lt;=DATE(2026,9,30),G138&gt;=DATE(2026,7,1),G138&lt;=DATE(2026,9,30)),1,0)</x:f>
        <x:v>1</x:v>
      </x:c>
      <x:c r="N138" t="n">
        <x:f>IF(M138=1,IF(G138&lt;=F138,1,0),0)</x:f>
        <x:v>0</x:v>
      </x:c>
      <x:c r="O138" t="n">
        <x:f>IF(AND(M138=1,K138="Sí",G138&gt;F138),1,0)</x:f>
        <x:v>0</x:v>
      </x:c>
      <x:c r="P138" t="n">
        <x:f>IF(AND(M138=1,I138&gt;0),1,0)</x:f>
        <x:v>0</x:v>
      </x:c>
      <x:c r="Q138" t="n">
        <x:f>IF(AND(B138&gt;=DATE(2026,7,1),B138&lt;=DATE(2026,9,30),G138&gt;=DATE(2026,10,1),G138&lt;=DATE(2026,10,7)),1,0)</x:f>
        <x:v>0</x:v>
      </x:c>
      <x:c r="R138" t="n">
        <x:f>IF(AND(B138&gt;=DATE(2026,7,1),B138&lt;=DATE(2026,9,30),G138&gt;DATE(2026,10,7)),1,0)</x:f>
        <x:v>0</x:v>
      </x:c>
      <x:c r="S138" t="n">
        <x:f>IF(AND(M138=1,J138&lt;&gt;"Ninguna"),1,0)</x:f>
        <x:v>0</x:v>
      </x:c>
    </x:row>
    <x:row r="139">
      <x:c r="A139" t="str">
        <x:v>PED-0138</x:v>
      </x:c>
      <x:c r="B139" s="12" t="n">
        <x:v>46264</x:v>
      </x:c>
      <x:c r="C139" t="str">
        <x:v>PackPro</x:v>
      </x:c>
      <x:c r="D139" t="str">
        <x:v>Embalaje</x:v>
      </x:c>
      <x:c r="E139" s="10" t="n">
        <x:v>15303.91</x:v>
      </x:c>
      <x:c r="F139" s="12" t="n">
        <x:v>46269</x:v>
      </x:c>
      <x:c r="G139" s="12" t="n">
        <x:v>46271</x:v>
      </x:c>
      <x:c r="H139" t="n">
        <x:v>377</x:v>
      </x:c>
      <x:c r="I139" t="n">
        <x:v>0</x:v>
      </x:c>
      <x:c r="J139" t="str">
        <x:v>Ninguna</x:v>
      </x:c>
      <x:c r="K139" t="str">
        <x:v>Sí</x:v>
      </x:c>
      <x:c r="L139" t="str">
        <x:v>Valencia</x:v>
      </x:c>
      <x:c r="M139" t="n">
        <x:f>IF(AND(B139&gt;=DATE(2026,7,1),B139&lt;=DATE(2026,9,30),G139&gt;=DATE(2026,7,1),G139&lt;=DATE(2026,9,30)),1,0)</x:f>
        <x:v>1</x:v>
      </x:c>
      <x:c r="N139" t="n">
        <x:f>IF(M139=1,IF(G139&lt;=F139,1,0),0)</x:f>
        <x:v>0</x:v>
      </x:c>
      <x:c r="O139" t="n">
        <x:f>IF(AND(M139=1,K139="Sí",G139&gt;F139),1,0)</x:f>
        <x:v>1</x:v>
      </x:c>
      <x:c r="P139" t="n">
        <x:f>IF(AND(M139=1,I139&gt;0),1,0)</x:f>
        <x:v>0</x:v>
      </x:c>
      <x:c r="Q139" t="n">
        <x:f>IF(AND(B139&gt;=DATE(2026,7,1),B139&lt;=DATE(2026,9,30),G139&gt;=DATE(2026,10,1),G139&lt;=DATE(2026,10,7)),1,0)</x:f>
        <x:v>0</x:v>
      </x:c>
      <x:c r="R139" t="n">
        <x:f>IF(AND(B139&gt;=DATE(2026,7,1),B139&lt;=DATE(2026,9,30),G139&gt;DATE(2026,10,7)),1,0)</x:f>
        <x:v>0</x:v>
      </x:c>
      <x:c r="S139" t="n">
        <x:f>IF(AND(M139=1,J139&lt;&gt;"Ninguna"),1,0)</x:f>
        <x:v>0</x:v>
      </x:c>
    </x:row>
    <x:row r="140">
      <x:c r="A140" t="str">
        <x:v>PED-0139</x:v>
      </x:c>
      <x:c r="B140" s="12" t="n">
        <x:v>46230</x:v>
      </x:c>
      <x:c r="C140" t="str">
        <x:v>OfiPlus</x:v>
      </x:c>
      <x:c r="D140" t="str">
        <x:v>Consumibles</x:v>
      </x:c>
      <x:c r="E140" s="10" t="n">
        <x:v>4039.01</x:v>
      </x:c>
      <x:c r="F140" s="12" t="n">
        <x:v>46233</x:v>
      </x:c>
      <x:c r="G140" s="12" t="n">
        <x:v>46242</x:v>
      </x:c>
      <x:c r="H140" t="n">
        <x:v>335</x:v>
      </x:c>
      <x:c r="I140" t="n">
        <x:v>0</x:v>
      </x:c>
      <x:c r="J140" t="str">
        <x:v>Retraso</x:v>
      </x:c>
      <x:c r="K140" t="str">
        <x:v>No</x:v>
      </x:c>
      <x:c r="L140" t="str">
        <x:v>Barcelona</x:v>
      </x:c>
      <x:c r="M140" t="n">
        <x:f>IF(AND(B140&gt;=DATE(2026,7,1),B140&lt;=DATE(2026,9,30),G140&gt;=DATE(2026,7,1),G140&lt;=DATE(2026,9,30)),1,0)</x:f>
        <x:v>1</x:v>
      </x:c>
      <x:c r="N140" t="n">
        <x:f>IF(M140=1,IF(G140&lt;=F140,1,0),0)</x:f>
        <x:v>0</x:v>
      </x:c>
      <x:c r="O140" t="n">
        <x:f>IF(AND(M140=1,K140="Sí",G140&gt;F140),1,0)</x:f>
        <x:v>0</x:v>
      </x:c>
      <x:c r="P140" t="n">
        <x:f>IF(AND(M140=1,I140&gt;0),1,0)</x:f>
        <x:v>0</x:v>
      </x:c>
      <x:c r="Q140" t="n">
        <x:f>IF(AND(B140&gt;=DATE(2026,7,1),B140&lt;=DATE(2026,9,30),G140&gt;=DATE(2026,10,1),G140&lt;=DATE(2026,10,7)),1,0)</x:f>
        <x:v>0</x:v>
      </x:c>
      <x:c r="R140" t="n">
        <x:f>IF(AND(B140&gt;=DATE(2026,7,1),B140&lt;=DATE(2026,9,30),G140&gt;DATE(2026,10,7)),1,0)</x:f>
        <x:v>0</x:v>
      </x:c>
      <x:c r="S140" t="n">
        <x:f>IF(AND(M140=1,J140&lt;&gt;"Ninguna"),1,0)</x:f>
        <x:v>1</x:v>
      </x:c>
    </x:row>
    <x:row r="141">
      <x:c r="A141" t="str">
        <x:v>PED-0140</x:v>
      </x:c>
      <x:c r="B141" s="12" t="n">
        <x:v>46275</x:v>
      </x:c>
      <x:c r="C141" t="str">
        <x:v>ElectraSupply</x:v>
      </x:c>
      <x:c r="D141" t="str">
        <x:v>Componentes eléctricos</x:v>
      </x:c>
      <x:c r="E141" s="10" t="n">
        <x:v>1052.94</x:v>
      </x:c>
      <x:c r="F141" s="12" t="n">
        <x:v>46287</x:v>
      </x:c>
      <x:c r="G141" s="12" t="n">
        <x:v>46297</x:v>
      </x:c>
      <x:c r="H141" t="n">
        <x:v>49</x:v>
      </x:c>
      <x:c r="I141" t="n">
        <x:v>0</x:v>
      </x:c>
      <x:c r="J141" t="str">
        <x:v>Retraso</x:v>
      </x:c>
      <x:c r="K141" t="str">
        <x:v>No</x:v>
      </x:c>
      <x:c r="L141" t="str">
        <x:v>Zaragoza</x:v>
      </x:c>
      <x:c r="M141" t="n">
        <x:f>IF(AND(B141&gt;=DATE(2026,7,1),B141&lt;=DATE(2026,9,30),G141&gt;=DATE(2026,7,1),G141&lt;=DATE(2026,9,30)),1,0)</x:f>
        <x:v>0</x:v>
      </x:c>
      <x:c r="N141" t="n">
        <x:f>IF(M141=1,IF(G141&lt;=F141,1,0),0)</x:f>
        <x:v>0</x:v>
      </x:c>
      <x:c r="O141" t="n">
        <x:f>IF(AND(M141=1,K141="Sí",G141&gt;F141),1,0)</x:f>
        <x:v>0</x:v>
      </x:c>
      <x:c r="P141" t="n">
        <x:f>IF(AND(M141=1,I141&gt;0),1,0)</x:f>
        <x:v>0</x:v>
      </x:c>
      <x:c r="Q141" t="n">
        <x:f>IF(AND(B141&gt;=DATE(2026,7,1),B141&lt;=DATE(2026,9,30),G141&gt;=DATE(2026,10,1),G141&lt;=DATE(2026,10,7)),1,0)</x:f>
        <x:v>1</x:v>
      </x:c>
      <x:c r="R141" t="n">
        <x:f>IF(AND(B141&gt;=DATE(2026,7,1),B141&lt;=DATE(2026,9,30),G141&gt;DATE(2026,10,7)),1,0)</x:f>
        <x:v>0</x:v>
      </x:c>
      <x:c r="S141" t="n">
        <x:f>IF(AND(M141=1,J141&lt;&gt;"Ninguna"),1,0)</x:f>
        <x:v>0</x:v>
      </x:c>
    </x:row>
    <x:row r="142">
      <x:c r="A142" t="str">
        <x:v>PED-0141</x:v>
      </x:c>
      <x:c r="B142" s="12" t="n">
        <x:v>46284</x:v>
      </x:c>
      <x:c r="C142" t="str">
        <x:v>MecaParts</x:v>
      </x:c>
      <x:c r="D142" t="str">
        <x:v>Componentes mecánicos</x:v>
      </x:c>
      <x:c r="E142" s="10" t="n">
        <x:v>9486.4</x:v>
      </x:c>
      <x:c r="F142" s="12" t="n">
        <x:v>46293</x:v>
      </x:c>
      <x:c r="G142" s="12" t="n">
        <x:v>46293</x:v>
      </x:c>
      <x:c r="H142" t="n">
        <x:v>297</x:v>
      </x:c>
      <x:c r="I142" t="n">
        <x:v>0</x:v>
      </x:c>
      <x:c r="J142" t="str">
        <x:v>Ninguna</x:v>
      </x:c>
      <x:c r="K142" t="str">
        <x:v>No</x:v>
      </x:c>
      <x:c r="L142" t="str">
        <x:v>Valencia</x:v>
      </x:c>
      <x:c r="M142" t="n">
        <x:f>IF(AND(B142&gt;=DATE(2026,7,1),B142&lt;=DATE(2026,9,30),G142&gt;=DATE(2026,7,1),G142&lt;=DATE(2026,9,30)),1,0)</x:f>
        <x:v>1</x:v>
      </x:c>
      <x:c r="N142" t="n">
        <x:f>IF(M142=1,IF(G142&lt;=F142,1,0),0)</x:f>
        <x:v>1</x:v>
      </x:c>
      <x:c r="O142" t="n">
        <x:f>IF(AND(M142=1,K142="Sí",G142&gt;F142),1,0)</x:f>
        <x:v>0</x:v>
      </x:c>
      <x:c r="P142" t="n">
        <x:f>IF(AND(M142=1,I142&gt;0),1,0)</x:f>
        <x:v>0</x:v>
      </x:c>
      <x:c r="Q142" t="n">
        <x:f>IF(AND(B142&gt;=DATE(2026,7,1),B142&lt;=DATE(2026,9,30),G142&gt;=DATE(2026,10,1),G142&lt;=DATE(2026,10,7)),1,0)</x:f>
        <x:v>0</x:v>
      </x:c>
      <x:c r="R142" t="n">
        <x:f>IF(AND(B142&gt;=DATE(2026,7,1),B142&lt;=DATE(2026,9,30),G142&gt;DATE(2026,10,7)),1,0)</x:f>
        <x:v>0</x:v>
      </x:c>
      <x:c r="S142" t="n">
        <x:f>IF(AND(M142=1,J142&lt;&gt;"Ninguna"),1,0)</x:f>
        <x:v>0</x:v>
      </x:c>
    </x:row>
    <x:row r="143">
      <x:c r="A143" t="str">
        <x:v>PED-0142</x:v>
      </x:c>
      <x:c r="B143" s="12" t="n">
        <x:v>46248</x:v>
      </x:c>
      <x:c r="C143" t="str">
        <x:v>MecaParts</x:v>
      </x:c>
      <x:c r="D143" t="str">
        <x:v>Componentes mecánicos</x:v>
      </x:c>
      <x:c r="E143" s="10" t="n">
        <x:v>10375.66</x:v>
      </x:c>
      <x:c r="F143" s="12" t="n">
        <x:v>46257</x:v>
      </x:c>
      <x:c r="G143" s="12" t="n">
        <x:v>46261</x:v>
      </x:c>
      <x:c r="H143" t="n">
        <x:v>282</x:v>
      </x:c>
      <x:c r="I143" t="n">
        <x:v>0</x:v>
      </x:c>
      <x:c r="J143" t="str">
        <x:v>Ninguna</x:v>
      </x:c>
      <x:c r="K143" t="str">
        <x:v>No</x:v>
      </x:c>
      <x:c r="L143" t="str">
        <x:v>Zaragoza</x:v>
      </x:c>
      <x:c r="M143" t="n">
        <x:f>IF(AND(B143&gt;=DATE(2026,7,1),B143&lt;=DATE(2026,9,30),G143&gt;=DATE(2026,7,1),G143&lt;=DATE(2026,9,30)),1,0)</x:f>
        <x:v>1</x:v>
      </x:c>
      <x:c r="N143" t="n">
        <x:f>IF(M143=1,IF(G143&lt;=F143,1,0),0)</x:f>
        <x:v>0</x:v>
      </x:c>
      <x:c r="O143" t="n">
        <x:f>IF(AND(M143=1,K143="Sí",G143&gt;F143),1,0)</x:f>
        <x:v>0</x:v>
      </x:c>
      <x:c r="P143" t="n">
        <x:f>IF(AND(M143=1,I143&gt;0),1,0)</x:f>
        <x:v>0</x:v>
      </x:c>
      <x:c r="Q143" t="n">
        <x:f>IF(AND(B143&gt;=DATE(2026,7,1),B143&lt;=DATE(2026,9,30),G143&gt;=DATE(2026,10,1),G143&lt;=DATE(2026,10,7)),1,0)</x:f>
        <x:v>0</x:v>
      </x:c>
      <x:c r="R143" t="n">
        <x:f>IF(AND(B143&gt;=DATE(2026,7,1),B143&lt;=DATE(2026,9,30),G143&gt;DATE(2026,10,7)),1,0)</x:f>
        <x:v>0</x:v>
      </x:c>
      <x:c r="S143" t="n">
        <x:f>IF(AND(M143=1,J143&lt;&gt;"Ninguna"),1,0)</x:f>
        <x:v>0</x:v>
      </x:c>
    </x:row>
    <x:row r="144">
      <x:c r="A144" t="str">
        <x:v>PED-0143</x:v>
      </x:c>
      <x:c r="B144" s="12" t="n">
        <x:v>46206</x:v>
      </x:c>
      <x:c r="C144" t="str">
        <x:v>PackPro</x:v>
      </x:c>
      <x:c r="D144" t="str">
        <x:v>Embalaje</x:v>
      </x:c>
      <x:c r="E144" s="10" t="n">
        <x:v>2542.4</x:v>
      </x:c>
      <x:c r="F144" s="12" t="n">
        <x:v>46211</x:v>
      </x:c>
      <x:c r="G144" s="12" t="n">
        <x:v>46211</x:v>
      </x:c>
      <x:c r="H144" t="n">
        <x:v>144</x:v>
      </x:c>
      <x:c r="I144" t="n">
        <x:v>0</x:v>
      </x:c>
      <x:c r="J144" t="str">
        <x:v>Ninguna</x:v>
      </x:c>
      <x:c r="K144" t="str">
        <x:v>No</x:v>
      </x:c>
      <x:c r="L144" t="str">
        <x:v>Valencia</x:v>
      </x:c>
      <x:c r="M144" t="n">
        <x:f>IF(AND(B144&gt;=DATE(2026,7,1),B144&lt;=DATE(2026,9,30),G144&gt;=DATE(2026,7,1),G144&lt;=DATE(2026,9,30)),1,0)</x:f>
        <x:v>1</x:v>
      </x:c>
      <x:c r="N144" t="n">
        <x:f>IF(M144=1,IF(G144&lt;=F144,1,0),0)</x:f>
        <x:v>1</x:v>
      </x:c>
      <x:c r="O144" t="n">
        <x:f>IF(AND(M144=1,K144="Sí",G144&gt;F144),1,0)</x:f>
        <x:v>0</x:v>
      </x:c>
      <x:c r="P144" t="n">
        <x:f>IF(AND(M144=1,I144&gt;0),1,0)</x:f>
        <x:v>0</x:v>
      </x:c>
      <x:c r="Q144" t="n">
        <x:f>IF(AND(B144&gt;=DATE(2026,7,1),B144&lt;=DATE(2026,9,30),G144&gt;=DATE(2026,10,1),G144&lt;=DATE(2026,10,7)),1,0)</x:f>
        <x:v>0</x:v>
      </x:c>
      <x:c r="R144" t="n">
        <x:f>IF(AND(B144&gt;=DATE(2026,7,1),B144&lt;=DATE(2026,9,30),G144&gt;DATE(2026,10,7)),1,0)</x:f>
        <x:v>0</x:v>
      </x:c>
      <x:c r="S144" t="n">
        <x:f>IF(AND(M144=1,J144&lt;&gt;"Ninguna"),1,0)</x:f>
        <x:v>0</x:v>
      </x:c>
    </x:row>
    <x:row r="145">
      <x:c r="A145" t="str">
        <x:v>PED-0144</x:v>
      </x:c>
      <x:c r="B145" s="12" t="n">
        <x:v>46224</x:v>
      </x:c>
      <x:c r="C145" t="str">
        <x:v>ElectraSupply</x:v>
      </x:c>
      <x:c r="D145" t="str">
        <x:v>Componentes eléctricos</x:v>
      </x:c>
      <x:c r="E145" s="10" t="n">
        <x:v>8874.21</x:v>
      </x:c>
      <x:c r="F145" s="12" t="n">
        <x:v>46237</x:v>
      </x:c>
      <x:c r="G145" s="12" t="n">
        <x:v>46239</x:v>
      </x:c>
      <x:c r="H145" t="n">
        <x:v>352</x:v>
      </x:c>
      <x:c r="I145" t="n">
        <x:v>0</x:v>
      </x:c>
      <x:c r="J145" t="str">
        <x:v>Ninguna</x:v>
      </x:c>
      <x:c r="K145" t="str">
        <x:v>No</x:v>
      </x:c>
      <x:c r="L145" t="str">
        <x:v>Zaragoza</x:v>
      </x:c>
      <x:c r="M145" t="n">
        <x:f>IF(AND(B145&gt;=DATE(2026,7,1),B145&lt;=DATE(2026,9,30),G145&gt;=DATE(2026,7,1),G145&lt;=DATE(2026,9,30)),1,0)</x:f>
        <x:v>1</x:v>
      </x:c>
      <x:c r="N145" t="n">
        <x:f>IF(M145=1,IF(G145&lt;=F145,1,0),0)</x:f>
        <x:v>0</x:v>
      </x:c>
      <x:c r="O145" t="n">
        <x:f>IF(AND(M145=1,K145="Sí",G145&gt;F145),1,0)</x:f>
        <x:v>0</x:v>
      </x:c>
      <x:c r="P145" t="n">
        <x:f>IF(AND(M145=1,I145&gt;0),1,0)</x:f>
        <x:v>0</x:v>
      </x:c>
      <x:c r="Q145" t="n">
        <x:f>IF(AND(B145&gt;=DATE(2026,7,1),B145&lt;=DATE(2026,9,30),G145&gt;=DATE(2026,10,1),G145&lt;=DATE(2026,10,7)),1,0)</x:f>
        <x:v>0</x:v>
      </x:c>
      <x:c r="R145" t="n">
        <x:f>IF(AND(B145&gt;=DATE(2026,7,1),B145&lt;=DATE(2026,9,30),G145&gt;DATE(2026,10,7)),1,0)</x:f>
        <x:v>0</x:v>
      </x:c>
      <x:c r="S145" t="n">
        <x:f>IF(AND(M145=1,J145&lt;&gt;"Ninguna"),1,0)</x:f>
        <x:v>0</x:v>
      </x:c>
    </x:row>
    <x:row r="146">
      <x:c r="A146" t="str">
        <x:v>PED-0145</x:v>
      </x:c>
      <x:c r="B146" s="12" t="n">
        <x:v>46221</x:v>
      </x:c>
      <x:c r="C146" t="str">
        <x:v>ElectraSupply</x:v>
      </x:c>
      <x:c r="D146" t="str">
        <x:v>Componentes eléctricos</x:v>
      </x:c>
      <x:c r="E146" s="10" t="n">
        <x:v>9284.15</x:v>
      </x:c>
      <x:c r="F146" s="12" t="n">
        <x:v>46232</x:v>
      </x:c>
      <x:c r="G146" s="12" t="n">
        <x:v>46237</x:v>
      </x:c>
      <x:c r="H146" t="n">
        <x:v>315</x:v>
      </x:c>
      <x:c r="I146" t="n">
        <x:v>0</x:v>
      </x:c>
      <x:c r="J146" t="str">
        <x:v>Ninguna</x:v>
      </x:c>
      <x:c r="K146" t="str">
        <x:v>No</x:v>
      </x:c>
      <x:c r="L146" t="str">
        <x:v>Zaragoza</x:v>
      </x:c>
      <x:c r="M146" t="n">
        <x:f>IF(AND(B146&gt;=DATE(2026,7,1),B146&lt;=DATE(2026,9,30),G146&gt;=DATE(2026,7,1),G146&lt;=DATE(2026,9,30)),1,0)</x:f>
        <x:v>1</x:v>
      </x:c>
      <x:c r="N146" t="n">
        <x:f>IF(M146=1,IF(G146&lt;=F146,1,0),0)</x:f>
        <x:v>0</x:v>
      </x:c>
      <x:c r="O146" t="n">
        <x:f>IF(AND(M146=1,K146="Sí",G146&gt;F146),1,0)</x:f>
        <x:v>0</x:v>
      </x:c>
      <x:c r="P146" t="n">
        <x:f>IF(AND(M146=1,I146&gt;0),1,0)</x:f>
        <x:v>0</x:v>
      </x:c>
      <x:c r="Q146" t="n">
        <x:f>IF(AND(B146&gt;=DATE(2026,7,1),B146&lt;=DATE(2026,9,30),G146&gt;=DATE(2026,10,1),G146&lt;=DATE(2026,10,7)),1,0)</x:f>
        <x:v>0</x:v>
      </x:c>
      <x:c r="R146" t="n">
        <x:f>IF(AND(B146&gt;=DATE(2026,7,1),B146&lt;=DATE(2026,9,30),G146&gt;DATE(2026,10,7)),1,0)</x:f>
        <x:v>0</x:v>
      </x:c>
      <x:c r="S146" t="n">
        <x:f>IF(AND(M146=1,J146&lt;&gt;"Ninguna"),1,0)</x:f>
        <x:v>0</x:v>
      </x:c>
    </x:row>
    <x:row r="147">
      <x:c r="A147" t="str">
        <x:v>PED-0146</x:v>
      </x:c>
      <x:c r="B147" s="12" t="n">
        <x:v>46234</x:v>
      </x:c>
      <x:c r="C147" t="str">
        <x:v>PackPro</x:v>
      </x:c>
      <x:c r="D147" t="str">
        <x:v>Embalaje</x:v>
      </x:c>
      <x:c r="E147" s="10" t="n">
        <x:v>7311.46</x:v>
      </x:c>
      <x:c r="F147" s="12" t="n">
        <x:v>46241</x:v>
      </x:c>
      <x:c r="G147" s="12" t="n">
        <x:v>46247</x:v>
      </x:c>
      <x:c r="H147" t="n">
        <x:v>233</x:v>
      </x:c>
      <x:c r="I147" t="n">
        <x:v>0</x:v>
      </x:c>
      <x:c r="J147" t="str">
        <x:v>Ninguna</x:v>
      </x:c>
      <x:c r="K147" t="str">
        <x:v>No</x:v>
      </x:c>
      <x:c r="L147" t="str">
        <x:v>Zaragoza</x:v>
      </x:c>
      <x:c r="M147" t="n">
        <x:f>IF(AND(B147&gt;=DATE(2026,7,1),B147&lt;=DATE(2026,9,30),G147&gt;=DATE(2026,7,1),G147&lt;=DATE(2026,9,30)),1,0)</x:f>
        <x:v>1</x:v>
      </x:c>
      <x:c r="N147" t="n">
        <x:f>IF(M147=1,IF(G147&lt;=F147,1,0),0)</x:f>
        <x:v>0</x:v>
      </x:c>
      <x:c r="O147" t="n">
        <x:f>IF(AND(M147=1,K147="Sí",G147&gt;F147),1,0)</x:f>
        <x:v>0</x:v>
      </x:c>
      <x:c r="P147" t="n">
        <x:f>IF(AND(M147=1,I147&gt;0),1,0)</x:f>
        <x:v>0</x:v>
      </x:c>
      <x:c r="Q147" t="n">
        <x:f>IF(AND(B147&gt;=DATE(2026,7,1),B147&lt;=DATE(2026,9,30),G147&gt;=DATE(2026,10,1),G147&lt;=DATE(2026,10,7)),1,0)</x:f>
        <x:v>0</x:v>
      </x:c>
      <x:c r="R147" t="n">
        <x:f>IF(AND(B147&gt;=DATE(2026,7,1),B147&lt;=DATE(2026,9,30),G147&gt;DATE(2026,10,7)),1,0)</x:f>
        <x:v>0</x:v>
      </x:c>
      <x:c r="S147" t="n">
        <x:f>IF(AND(M147=1,J147&lt;&gt;"Ninguna"),1,0)</x:f>
        <x:v>0</x:v>
      </x:c>
    </x:row>
    <x:row r="148">
      <x:c r="A148" t="str">
        <x:v>PED-0147</x:v>
      </x:c>
      <x:c r="B148" s="12" t="n">
        <x:v>46251</x:v>
      </x:c>
      <x:c r="C148" t="str">
        <x:v>ElectraSupply</x:v>
      </x:c>
      <x:c r="D148" t="str">
        <x:v>Componentes eléctricos</x:v>
      </x:c>
      <x:c r="E148" s="10" t="n">
        <x:v>6515.25</x:v>
      </x:c>
      <x:c r="F148" s="12" t="n">
        <x:v>46264</x:v>
      </x:c>
      <x:c r="G148" s="12" t="n">
        <x:v>46271</x:v>
      </x:c>
      <x:c r="H148" t="n">
        <x:v>184</x:v>
      </x:c>
      <x:c r="I148" t="n">
        <x:v>0</x:v>
      </x:c>
      <x:c r="J148" t="str">
        <x:v>Retraso</x:v>
      </x:c>
      <x:c r="K148" t="str">
        <x:v>No</x:v>
      </x:c>
      <x:c r="L148" t="str">
        <x:v>Valencia</x:v>
      </x:c>
      <x:c r="M148" t="n">
        <x:f>IF(AND(B148&gt;=DATE(2026,7,1),B148&lt;=DATE(2026,9,30),G148&gt;=DATE(2026,7,1),G148&lt;=DATE(2026,9,30)),1,0)</x:f>
        <x:v>1</x:v>
      </x:c>
      <x:c r="N148" t="n">
        <x:f>IF(M148=1,IF(G148&lt;=F148,1,0),0)</x:f>
        <x:v>0</x:v>
      </x:c>
      <x:c r="O148" t="n">
        <x:f>IF(AND(M148=1,K148="Sí",G148&gt;F148),1,0)</x:f>
        <x:v>0</x:v>
      </x:c>
      <x:c r="P148" t="n">
        <x:f>IF(AND(M148=1,I148&gt;0),1,0)</x:f>
        <x:v>0</x:v>
      </x:c>
      <x:c r="Q148" t="n">
        <x:f>IF(AND(B148&gt;=DATE(2026,7,1),B148&lt;=DATE(2026,9,30),G148&gt;=DATE(2026,10,1),G148&lt;=DATE(2026,10,7)),1,0)</x:f>
        <x:v>0</x:v>
      </x:c>
      <x:c r="R148" t="n">
        <x:f>IF(AND(B148&gt;=DATE(2026,7,1),B148&lt;=DATE(2026,9,30),G148&gt;DATE(2026,10,7)),1,0)</x:f>
        <x:v>0</x:v>
      </x:c>
      <x:c r="S148" t="n">
        <x:f>IF(AND(M148=1,J148&lt;&gt;"Ninguna"),1,0)</x:f>
        <x:v>1</x:v>
      </x:c>
    </x:row>
    <x:row r="149">
      <x:c r="A149" t="str">
        <x:v>PED-0148</x:v>
      </x:c>
      <x:c r="B149" s="12" t="n">
        <x:v>46238</x:v>
      </x:c>
      <x:c r="C149" t="str">
        <x:v>PackPro</x:v>
      </x:c>
      <x:c r="D149" t="str">
        <x:v>Embalaje</x:v>
      </x:c>
      <x:c r="E149" s="10" t="n">
        <x:v>1409.35</x:v>
      </x:c>
      <x:c r="F149" s="12" t="n">
        <x:v>46245</x:v>
      </x:c>
      <x:c r="G149" s="12" t="n">
        <x:v>46247</x:v>
      </x:c>
      <x:c r="H149" t="n">
        <x:v>224</x:v>
      </x:c>
      <x:c r="I149" t="n">
        <x:v>0</x:v>
      </x:c>
      <x:c r="J149" t="str">
        <x:v>Ninguna</x:v>
      </x:c>
      <x:c r="K149" t="str">
        <x:v>No</x:v>
      </x:c>
      <x:c r="L149" t="str">
        <x:v>Valencia</x:v>
      </x:c>
      <x:c r="M149" t="n">
        <x:f>IF(AND(B149&gt;=DATE(2026,7,1),B149&lt;=DATE(2026,9,30),G149&gt;=DATE(2026,7,1),G149&lt;=DATE(2026,9,30)),1,0)</x:f>
        <x:v>1</x:v>
      </x:c>
      <x:c r="N149" t="n">
        <x:f>IF(M149=1,IF(G149&lt;=F149,1,0),0)</x:f>
        <x:v>0</x:v>
      </x:c>
      <x:c r="O149" t="n">
        <x:f>IF(AND(M149=1,K149="Sí",G149&gt;F149),1,0)</x:f>
        <x:v>0</x:v>
      </x:c>
      <x:c r="P149" t="n">
        <x:f>IF(AND(M149=1,I149&gt;0),1,0)</x:f>
        <x:v>0</x:v>
      </x:c>
      <x:c r="Q149" t="n">
        <x:f>IF(AND(B149&gt;=DATE(2026,7,1),B149&lt;=DATE(2026,9,30),G149&gt;=DATE(2026,10,1),G149&lt;=DATE(2026,10,7)),1,0)</x:f>
        <x:v>0</x:v>
      </x:c>
      <x:c r="R149" t="n">
        <x:f>IF(AND(B149&gt;=DATE(2026,7,1),B149&lt;=DATE(2026,9,30),G149&gt;DATE(2026,10,7)),1,0)</x:f>
        <x:v>0</x:v>
      </x:c>
      <x:c r="S149" t="n">
        <x:f>IF(AND(M149=1,J149&lt;&gt;"Ninguna"),1,0)</x:f>
        <x:v>0</x:v>
      </x:c>
    </x:row>
    <x:row r="150">
      <x:c r="A150" t="str">
        <x:v>PED-0149</x:v>
      </x:c>
      <x:c r="B150" s="12" t="n">
        <x:v>46262</x:v>
      </x:c>
      <x:c r="C150" t="str">
        <x:v>MetalNova</x:v>
      </x:c>
      <x:c r="D150" t="str">
        <x:v>Componentes mecánicos</x:v>
      </x:c>
      <x:c r="E150" s="10" t="n">
        <x:v>6520.66</x:v>
      </x:c>
      <x:c r="F150" s="12" t="n">
        <x:v>46273</x:v>
      </x:c>
      <x:c r="G150" s="12" t="n">
        <x:v>46276</x:v>
      </x:c>
      <x:c r="H150" t="n">
        <x:v>245</x:v>
      </x:c>
      <x:c r="I150" t="n">
        <x:v>0</x:v>
      </x:c>
      <x:c r="J150" t="str">
        <x:v>Ninguna</x:v>
      </x:c>
      <x:c r="K150" t="str">
        <x:v>No</x:v>
      </x:c>
      <x:c r="L150" t="str">
        <x:v>Zaragoza</x:v>
      </x:c>
      <x:c r="M150" t="n">
        <x:f>IF(AND(B150&gt;=DATE(2026,7,1),B150&lt;=DATE(2026,9,30),G150&gt;=DATE(2026,7,1),G150&lt;=DATE(2026,9,30)),1,0)</x:f>
        <x:v>1</x:v>
      </x:c>
      <x:c r="N150" t="n">
        <x:f>IF(M150=1,IF(G150&lt;=F150,1,0),0)</x:f>
        <x:v>0</x:v>
      </x:c>
      <x:c r="O150" t="n">
        <x:f>IF(AND(M150=1,K150="Sí",G150&gt;F150),1,0)</x:f>
        <x:v>0</x:v>
      </x:c>
      <x:c r="P150" t="n">
        <x:f>IF(AND(M150=1,I150&gt;0),1,0)</x:f>
        <x:v>0</x:v>
      </x:c>
      <x:c r="Q150" t="n">
        <x:f>IF(AND(B150&gt;=DATE(2026,7,1),B150&lt;=DATE(2026,9,30),G150&gt;=DATE(2026,10,1),G150&lt;=DATE(2026,10,7)),1,0)</x:f>
        <x:v>0</x:v>
      </x:c>
      <x:c r="R150" t="n">
        <x:f>IF(AND(B150&gt;=DATE(2026,7,1),B150&lt;=DATE(2026,9,30),G150&gt;DATE(2026,10,7)),1,0)</x:f>
        <x:v>0</x:v>
      </x:c>
      <x:c r="S150" t="n">
        <x:f>IF(AND(M150=1,J150&lt;&gt;"Ninguna"),1,0)</x:f>
        <x:v>0</x:v>
      </x:c>
    </x:row>
    <x:row r="151">
      <x:c r="A151" t="str">
        <x:v>PED-0150</x:v>
      </x:c>
      <x:c r="B151" s="12" t="n">
        <x:v>46273</x:v>
      </x:c>
      <x:c r="C151" t="str">
        <x:v>MetalNova</x:v>
      </x:c>
      <x:c r="D151" t="str">
        <x:v>Componentes mecánicos</x:v>
      </x:c>
      <x:c r="E151" s="10" t="n">
        <x:v>13296.68</x:v>
      </x:c>
      <x:c r="F151" s="12" t="n">
        <x:v>46282</x:v>
      </x:c>
      <x:c r="G151" s="12" t="n">
        <x:v>46283</x:v>
      </x:c>
      <x:c r="H151" t="n">
        <x:v>385</x:v>
      </x:c>
      <x:c r="I151" t="n">
        <x:v>0</x:v>
      </x:c>
      <x:c r="J151" t="str">
        <x:v>Ninguna</x:v>
      </x:c>
      <x:c r="K151" t="str">
        <x:v>No</x:v>
      </x:c>
      <x:c r="L151" t="str">
        <x:v>Zaragoza</x:v>
      </x:c>
      <x:c r="M151" t="n">
        <x:f>IF(AND(B151&gt;=DATE(2026,7,1),B151&lt;=DATE(2026,9,30),G151&gt;=DATE(2026,7,1),G151&lt;=DATE(2026,9,30)),1,0)</x:f>
        <x:v>1</x:v>
      </x:c>
      <x:c r="N151" t="n">
        <x:f>IF(M151=1,IF(G151&lt;=F151,1,0),0)</x:f>
        <x:v>0</x:v>
      </x:c>
      <x:c r="O151" t="n">
        <x:f>IF(AND(M151=1,K151="Sí",G151&gt;F151),1,0)</x:f>
        <x:v>0</x:v>
      </x:c>
      <x:c r="P151" t="n">
        <x:f>IF(AND(M151=1,I151&gt;0),1,0)</x:f>
        <x:v>0</x:v>
      </x:c>
      <x:c r="Q151" t="n">
        <x:f>IF(AND(B151&gt;=DATE(2026,7,1),B151&lt;=DATE(2026,9,30),G151&gt;=DATE(2026,10,1),G151&lt;=DATE(2026,10,7)),1,0)</x:f>
        <x:v>0</x:v>
      </x:c>
      <x:c r="R151" t="n">
        <x:f>IF(AND(B151&gt;=DATE(2026,7,1),B151&lt;=DATE(2026,9,30),G151&gt;DATE(2026,10,7)),1,0)</x:f>
        <x:v>0</x:v>
      </x:c>
      <x:c r="S151" t="n">
        <x:f>IF(AND(M151=1,J151&lt;&gt;"Ninguna"),1,0)</x:f>
        <x:v>0</x:v>
      </x:c>
    </x:row>
    <x:row r="152">
      <x:c r="A152" t="str">
        <x:v>PED-0151</x:v>
      </x:c>
      <x:c r="B152" s="12" t="n">
        <x:v>46282</x:v>
      </x:c>
      <x:c r="C152" t="str">
        <x:v>ElectraSupply</x:v>
      </x:c>
      <x:c r="D152" t="str">
        <x:v>Componentes eléctricos</x:v>
      </x:c>
      <x:c r="E152" s="10" t="n">
        <x:v>12285.47</x:v>
      </x:c>
      <x:c r="F152" s="12" t="n">
        <x:v>46293</x:v>
      </x:c>
      <x:c r="G152" s="12" t="n">
        <x:v>46298</x:v>
      </x:c>
      <x:c r="H152" t="n">
        <x:v>241</x:v>
      </x:c>
      <x:c r="I152" t="n">
        <x:v>0</x:v>
      </x:c>
      <x:c r="J152" t="str">
        <x:v>Ninguna</x:v>
      </x:c>
      <x:c r="K152" t="str">
        <x:v>No</x:v>
      </x:c>
      <x:c r="L152" t="str">
        <x:v>Barcelona</x:v>
      </x:c>
      <x:c r="M152" t="n">
        <x:f>IF(AND(B152&gt;=DATE(2026,7,1),B152&lt;=DATE(2026,9,30),G152&gt;=DATE(2026,7,1),G152&lt;=DATE(2026,9,30)),1,0)</x:f>
        <x:v>0</x:v>
      </x:c>
      <x:c r="N152" t="n">
        <x:f>IF(M152=1,IF(G152&lt;=F152,1,0),0)</x:f>
        <x:v>0</x:v>
      </x:c>
      <x:c r="O152" t="n">
        <x:f>IF(AND(M152=1,K152="Sí",G152&gt;F152),1,0)</x:f>
        <x:v>0</x:v>
      </x:c>
      <x:c r="P152" t="n">
        <x:f>IF(AND(M152=1,I152&gt;0),1,0)</x:f>
        <x:v>0</x:v>
      </x:c>
      <x:c r="Q152" t="n">
        <x:f>IF(AND(B152&gt;=DATE(2026,7,1),B152&lt;=DATE(2026,9,30),G152&gt;=DATE(2026,10,1),G152&lt;=DATE(2026,10,7)),1,0)</x:f>
        <x:v>1</x:v>
      </x:c>
      <x:c r="R152" t="n">
        <x:f>IF(AND(B152&gt;=DATE(2026,7,1),B152&lt;=DATE(2026,9,30),G152&gt;DATE(2026,10,7)),1,0)</x:f>
        <x:v>0</x:v>
      </x:c>
      <x:c r="S152" t="n">
        <x:f>IF(AND(M152=1,J152&lt;&gt;"Ninguna"),1,0)</x:f>
        <x:v>0</x:v>
      </x:c>
    </x:row>
    <x:row r="153">
      <x:c r="A153" t="str">
        <x:v>PED-0152</x:v>
      </x:c>
      <x:c r="B153" s="12" t="n">
        <x:v>46251</x:v>
      </x:c>
      <x:c r="C153" t="str">
        <x:v>OfiPlus</x:v>
      </x:c>
      <x:c r="D153" t="str">
        <x:v>Consumibles</x:v>
      </x:c>
      <x:c r="E153" s="10" t="n">
        <x:v>4098.64</x:v>
      </x:c>
      <x:c r="F153" s="12" t="n">
        <x:v>46257</x:v>
      </x:c>
      <x:c r="G153" s="12" t="n">
        <x:v>46256</x:v>
      </x:c>
      <x:c r="H153" t="n">
        <x:v>189</x:v>
      </x:c>
      <x:c r="I153" t="n">
        <x:v>0</x:v>
      </x:c>
      <x:c r="J153" t="str">
        <x:v>Ninguna</x:v>
      </x:c>
      <x:c r="K153" t="str">
        <x:v>No</x:v>
      </x:c>
      <x:c r="L153" t="str">
        <x:v>Zaragoza</x:v>
      </x:c>
      <x:c r="M153" t="n">
        <x:f>IF(AND(B153&gt;=DATE(2026,7,1),B153&lt;=DATE(2026,9,30),G153&gt;=DATE(2026,7,1),G153&lt;=DATE(2026,9,30)),1,0)</x:f>
        <x:v>1</x:v>
      </x:c>
      <x:c r="N153" t="n">
        <x:f>IF(M153=1,IF(G153&lt;=F153,1,0),0)</x:f>
        <x:v>1</x:v>
      </x:c>
      <x:c r="O153" t="n">
        <x:f>IF(AND(M153=1,K153="Sí",G153&gt;F153),1,0)</x:f>
        <x:v>0</x:v>
      </x:c>
      <x:c r="P153" t="n">
        <x:f>IF(AND(M153=1,I153&gt;0),1,0)</x:f>
        <x:v>0</x:v>
      </x:c>
      <x:c r="Q153" t="n">
        <x:f>IF(AND(B153&gt;=DATE(2026,7,1),B153&lt;=DATE(2026,9,30),G153&gt;=DATE(2026,10,1),G153&lt;=DATE(2026,10,7)),1,0)</x:f>
        <x:v>0</x:v>
      </x:c>
      <x:c r="R153" t="n">
        <x:f>IF(AND(B153&gt;=DATE(2026,7,1),B153&lt;=DATE(2026,9,30),G153&gt;DATE(2026,10,7)),1,0)</x:f>
        <x:v>0</x:v>
      </x:c>
      <x:c r="S153" t="n">
        <x:f>IF(AND(M153=1,J153&lt;&gt;"Ninguna"),1,0)</x:f>
        <x:v>0</x:v>
      </x:c>
    </x:row>
    <x:row r="154">
      <x:c r="A154" t="str">
        <x:v>PED-0153</x:v>
      </x:c>
      <x:c r="B154" s="12" t="n">
        <x:v>46286</x:v>
      </x:c>
      <x:c r="C154" t="str">
        <x:v>ElectraSupply</x:v>
      </x:c>
      <x:c r="D154" t="str">
        <x:v>Componentes eléctricos</x:v>
      </x:c>
      <x:c r="E154" s="10" t="n">
        <x:v>4287.58</x:v>
      </x:c>
      <x:c r="F154" s="12" t="n">
        <x:v>46297</x:v>
      </x:c>
      <x:c r="G154" s="12" t="n">
        <x:v>46302</x:v>
      </x:c>
      <x:c r="H154" t="n">
        <x:v>150</x:v>
      </x:c>
      <x:c r="I154" t="n">
        <x:v>0</x:v>
      </x:c>
      <x:c r="J154" t="str">
        <x:v>Daño transporte</x:v>
      </x:c>
      <x:c r="K154" t="str">
        <x:v>No</x:v>
      </x:c>
      <x:c r="L154" t="str">
        <x:v>Valencia</x:v>
      </x:c>
      <x:c r="M154" t="n">
        <x:f>IF(AND(B154&gt;=DATE(2026,7,1),B154&lt;=DATE(2026,9,30),G154&gt;=DATE(2026,7,1),G154&lt;=DATE(2026,9,30)),1,0)</x:f>
        <x:v>0</x:v>
      </x:c>
      <x:c r="N154" t="n">
        <x:f>IF(M154=1,IF(G154&lt;=F154,1,0),0)</x:f>
        <x:v>0</x:v>
      </x:c>
      <x:c r="O154" t="n">
        <x:f>IF(AND(M154=1,K154="Sí",G154&gt;F154),1,0)</x:f>
        <x:v>0</x:v>
      </x:c>
      <x:c r="P154" t="n">
        <x:f>IF(AND(M154=1,I154&gt;0),1,0)</x:f>
        <x:v>0</x:v>
      </x:c>
      <x:c r="Q154" t="n">
        <x:f>IF(AND(B154&gt;=DATE(2026,7,1),B154&lt;=DATE(2026,9,30),G154&gt;=DATE(2026,10,1),G154&lt;=DATE(2026,10,7)),1,0)</x:f>
        <x:v>1</x:v>
      </x:c>
      <x:c r="R154" t="n">
        <x:f>IF(AND(B154&gt;=DATE(2026,7,1),B154&lt;=DATE(2026,9,30),G154&gt;DATE(2026,10,7)),1,0)</x:f>
        <x:v>0</x:v>
      </x:c>
      <x:c r="S154" t="n">
        <x:f>IF(AND(M154=1,J154&lt;&gt;"Ninguna"),1,0)</x:f>
        <x:v>0</x:v>
      </x:c>
    </x:row>
    <x:row r="155">
      <x:c r="A155" t="str">
        <x:v>PED-0154</x:v>
      </x:c>
      <x:c r="B155" s="12" t="n">
        <x:v>46295</x:v>
      </x:c>
      <x:c r="C155" t="str">
        <x:v>ElectraSupply</x:v>
      </x:c>
      <x:c r="D155" t="str">
        <x:v>Componentes eléctricos</x:v>
      </x:c>
      <x:c r="E155" s="10" t="n">
        <x:v>11817.73</x:v>
      </x:c>
      <x:c r="F155" s="12" t="n">
        <x:v>46307</x:v>
      </x:c>
      <x:c r="G155" s="12" t="n">
        <x:v>46309</x:v>
      </x:c>
      <x:c r="H155" t="n">
        <x:v>349</x:v>
      </x:c>
      <x:c r="I155" t="n">
        <x:v>0</x:v>
      </x:c>
      <x:c r="J155" t="str">
        <x:v>Documentación</x:v>
      </x:c>
      <x:c r="K155" t="str">
        <x:v>No</x:v>
      </x:c>
      <x:c r="L155" t="str">
        <x:v>Barcelona</x:v>
      </x:c>
      <x:c r="M155" t="n">
        <x:f>IF(AND(B155&gt;=DATE(2026,7,1),B155&lt;=DATE(2026,9,30),G155&gt;=DATE(2026,7,1),G155&lt;=DATE(2026,9,30)),1,0)</x:f>
        <x:v>0</x:v>
      </x:c>
      <x:c r="N155" t="n">
        <x:f>IF(M155=1,IF(G155&lt;=F155,1,0),0)</x:f>
        <x:v>0</x:v>
      </x:c>
      <x:c r="O155" t="n">
        <x:f>IF(AND(M155=1,K155="Sí",G155&gt;F155),1,0)</x:f>
        <x:v>0</x:v>
      </x:c>
      <x:c r="P155" t="n">
        <x:f>IF(AND(M155=1,I155&gt;0),1,0)</x:f>
        <x:v>0</x:v>
      </x:c>
      <x:c r="Q155" t="n">
        <x:f>IF(AND(B155&gt;=DATE(2026,7,1),B155&lt;=DATE(2026,9,30),G155&gt;=DATE(2026,10,1),G155&lt;=DATE(2026,10,7)),1,0)</x:f>
        <x:v>0</x:v>
      </x:c>
      <x:c r="R155" t="n">
        <x:f>IF(AND(B155&gt;=DATE(2026,7,1),B155&lt;=DATE(2026,9,30),G155&gt;DATE(2026,10,7)),1,0)</x:f>
        <x:v>1</x:v>
      </x:c>
      <x:c r="S155" t="n">
        <x:f>IF(AND(M155=1,J155&lt;&gt;"Ninguna"),1,0)</x:f>
        <x:v>0</x:v>
      </x:c>
    </x:row>
    <x:row r="156">
      <x:c r="A156" t="str">
        <x:v>PED-0155</x:v>
      </x:c>
      <x:c r="B156" s="12" t="n">
        <x:v>46220</x:v>
      </x:c>
      <x:c r="C156" t="str">
        <x:v>MecaParts</x:v>
      </x:c>
      <x:c r="D156" t="str">
        <x:v>Componentes mecánicos</x:v>
      </x:c>
      <x:c r="E156" s="10" t="n">
        <x:v>11381.16</x:v>
      </x:c>
      <x:c r="F156" s="12" t="n">
        <x:v>46228</x:v>
      </x:c>
      <x:c r="G156" s="12" t="n">
        <x:v>46233</x:v>
      </x:c>
      <x:c r="H156" t="n">
        <x:v>310</x:v>
      </x:c>
      <x:c r="I156" t="n">
        <x:v>0</x:v>
      </x:c>
      <x:c r="J156" t="str">
        <x:v>Ninguna</x:v>
      </x:c>
      <x:c r="K156" t="str">
        <x:v>No</x:v>
      </x:c>
      <x:c r="L156" t="str">
        <x:v>Zaragoza</x:v>
      </x:c>
      <x:c r="M156" t="n">
        <x:f>IF(AND(B156&gt;=DATE(2026,7,1),B156&lt;=DATE(2026,9,30),G156&gt;=DATE(2026,7,1),G156&lt;=DATE(2026,9,30)),1,0)</x:f>
        <x:v>1</x:v>
      </x:c>
      <x:c r="N156" t="n">
        <x:f>IF(M156=1,IF(G156&lt;=F156,1,0),0)</x:f>
        <x:v>0</x:v>
      </x:c>
      <x:c r="O156" t="n">
        <x:f>IF(AND(M156=1,K156="Sí",G156&gt;F156),1,0)</x:f>
        <x:v>0</x:v>
      </x:c>
      <x:c r="P156" t="n">
        <x:f>IF(AND(M156=1,I156&gt;0),1,0)</x:f>
        <x:v>0</x:v>
      </x:c>
      <x:c r="Q156" t="n">
        <x:f>IF(AND(B156&gt;=DATE(2026,7,1),B156&lt;=DATE(2026,9,30),G156&gt;=DATE(2026,10,1),G156&lt;=DATE(2026,10,7)),1,0)</x:f>
        <x:v>0</x:v>
      </x:c>
      <x:c r="R156" t="n">
        <x:f>IF(AND(B156&gt;=DATE(2026,7,1),B156&lt;=DATE(2026,9,30),G156&gt;DATE(2026,10,7)),1,0)</x:f>
        <x:v>0</x:v>
      </x:c>
      <x:c r="S156" t="n">
        <x:f>IF(AND(M156=1,J156&lt;&gt;"Ninguna"),1,0)</x:f>
        <x:v>0</x:v>
      </x:c>
    </x:row>
    <x:row r="157">
      <x:c r="A157" t="str">
        <x:v>PED-0156</x:v>
      </x:c>
      <x:c r="B157" s="12" t="n">
        <x:v>46204</x:v>
      </x:c>
      <x:c r="C157" t="str">
        <x:v>PackPro</x:v>
      </x:c>
      <x:c r="D157" t="str">
        <x:v>Embalaje</x:v>
      </x:c>
      <x:c r="E157" s="10" t="n">
        <x:v>6829.04</x:v>
      </x:c>
      <x:c r="F157" s="12" t="n">
        <x:v>46212</x:v>
      </x:c>
      <x:c r="G157" s="12" t="n">
        <x:v>46213</x:v>
      </x:c>
      <x:c r="H157" t="n">
        <x:v>251</x:v>
      </x:c>
      <x:c r="I157" t="n">
        <x:v>32</x:v>
      </x:c>
      <x:c r="J157" t="str">
        <x:v>Calidad</x:v>
      </x:c>
      <x:c r="K157" t="str">
        <x:v>No</x:v>
      </x:c>
      <x:c r="L157" t="str">
        <x:v>Valencia</x:v>
      </x:c>
      <x:c r="M157" t="n">
        <x:f>IF(AND(B157&gt;=DATE(2026,7,1),B157&lt;=DATE(2026,9,30),G157&gt;=DATE(2026,7,1),G157&lt;=DATE(2026,9,30)),1,0)</x:f>
        <x:v>1</x:v>
      </x:c>
      <x:c r="N157" t="n">
        <x:f>IF(M157=1,IF(G157&lt;=F157,1,0),0)</x:f>
        <x:v>0</x:v>
      </x:c>
      <x:c r="O157" t="n">
        <x:f>IF(AND(M157=1,K157="Sí",G157&gt;F157),1,0)</x:f>
        <x:v>0</x:v>
      </x:c>
      <x:c r="P157" t="n">
        <x:f>IF(AND(M157=1,I157&gt;0),1,0)</x:f>
        <x:v>1</x:v>
      </x:c>
      <x:c r="Q157" t="n">
        <x:f>IF(AND(B157&gt;=DATE(2026,7,1),B157&lt;=DATE(2026,9,30),G157&gt;=DATE(2026,10,1),G157&lt;=DATE(2026,10,7)),1,0)</x:f>
        <x:v>0</x:v>
      </x:c>
      <x:c r="R157" t="n">
        <x:f>IF(AND(B157&gt;=DATE(2026,7,1),B157&lt;=DATE(2026,9,30),G157&gt;DATE(2026,10,7)),1,0)</x:f>
        <x:v>0</x:v>
      </x:c>
      <x:c r="S157" t="n">
        <x:f>IF(AND(M157=1,J157&lt;&gt;"Ninguna"),1,0)</x:f>
        <x:v>1</x:v>
      </x:c>
    </x:row>
    <x:row r="158">
      <x:c r="A158" t="str">
        <x:v>PED-0157</x:v>
      </x:c>
      <x:c r="B158" s="12" t="n">
        <x:v>46284</x:v>
      </x:c>
      <x:c r="C158" t="str">
        <x:v>MecaParts</x:v>
      </x:c>
      <x:c r="D158" t="str">
        <x:v>Componentes mecánicos</x:v>
      </x:c>
      <x:c r="E158" s="10" t="n">
        <x:v>7541.31</x:v>
      </x:c>
      <x:c r="F158" s="12" t="n">
        <x:v>46295</x:v>
      </x:c>
      <x:c r="G158" s="12" t="n">
        <x:v>46300</x:v>
      </x:c>
      <x:c r="H158" t="n">
        <x:v>311</x:v>
      </x:c>
      <x:c r="I158" t="n">
        <x:v>27</x:v>
      </x:c>
      <x:c r="J158" t="str">
        <x:v>Calidad</x:v>
      </x:c>
      <x:c r="K158" t="str">
        <x:v>No</x:v>
      </x:c>
      <x:c r="L158" t="str">
        <x:v>Barcelona</x:v>
      </x:c>
      <x:c r="M158" t="n">
        <x:f>IF(AND(B158&gt;=DATE(2026,7,1),B158&lt;=DATE(2026,9,30),G158&gt;=DATE(2026,7,1),G158&lt;=DATE(2026,9,30)),1,0)</x:f>
        <x:v>0</x:v>
      </x:c>
      <x:c r="N158" t="n">
        <x:f>IF(M158=1,IF(G158&lt;=F158,1,0),0)</x:f>
        <x:v>0</x:v>
      </x:c>
      <x:c r="O158" t="n">
        <x:f>IF(AND(M158=1,K158="Sí",G158&gt;F158),1,0)</x:f>
        <x:v>0</x:v>
      </x:c>
      <x:c r="P158" t="n">
        <x:f>IF(AND(M158=1,I158&gt;0),1,0)</x:f>
        <x:v>0</x:v>
      </x:c>
      <x:c r="Q158" t="n">
        <x:f>IF(AND(B158&gt;=DATE(2026,7,1),B158&lt;=DATE(2026,9,30),G158&gt;=DATE(2026,10,1),G158&lt;=DATE(2026,10,7)),1,0)</x:f>
        <x:v>1</x:v>
      </x:c>
      <x:c r="R158" t="n">
        <x:f>IF(AND(B158&gt;=DATE(2026,7,1),B158&lt;=DATE(2026,9,30),G158&gt;DATE(2026,10,7)),1,0)</x:f>
        <x:v>0</x:v>
      </x:c>
      <x:c r="S158" t="n">
        <x:f>IF(AND(M158=1,J158&lt;&gt;"Ninguna"),1,0)</x:f>
        <x:v>0</x:v>
      </x:c>
    </x:row>
    <x:row r="159">
      <x:c r="A159" t="str">
        <x:v>PED-0158</x:v>
      </x:c>
      <x:c r="B159" s="12" t="n">
        <x:v>46245</x:v>
      </x:c>
      <x:c r="C159" t="str">
        <x:v>ElectraSupply</x:v>
      </x:c>
      <x:c r="D159" t="str">
        <x:v>Componentes eléctricos</x:v>
      </x:c>
      <x:c r="E159" s="10" t="n">
        <x:v>5564.66</x:v>
      </x:c>
      <x:c r="F159" s="12" t="n">
        <x:v>46259</x:v>
      </x:c>
      <x:c r="G159" s="12" t="n">
        <x:v>46263</x:v>
      </x:c>
      <x:c r="H159" t="n">
        <x:v>116</x:v>
      </x:c>
      <x:c r="I159" t="n">
        <x:v>0</x:v>
      </x:c>
      <x:c r="J159" t="str">
        <x:v>Ninguna</x:v>
      </x:c>
      <x:c r="K159" t="str">
        <x:v>Sí</x:v>
      </x:c>
      <x:c r="L159" t="str">
        <x:v>Zaragoza</x:v>
      </x:c>
      <x:c r="M159" t="n">
        <x:f>IF(AND(B159&gt;=DATE(2026,7,1),B159&lt;=DATE(2026,9,30),G159&gt;=DATE(2026,7,1),G159&lt;=DATE(2026,9,30)),1,0)</x:f>
        <x:v>1</x:v>
      </x:c>
      <x:c r="N159" t="n">
        <x:f>IF(M159=1,IF(G159&lt;=F159,1,0),0)</x:f>
        <x:v>0</x:v>
      </x:c>
      <x:c r="O159" t="n">
        <x:f>IF(AND(M159=1,K159="Sí",G159&gt;F159),1,0)</x:f>
        <x:v>1</x:v>
      </x:c>
      <x:c r="P159" t="n">
        <x:f>IF(AND(M159=1,I159&gt;0),1,0)</x:f>
        <x:v>0</x:v>
      </x:c>
      <x:c r="Q159" t="n">
        <x:f>IF(AND(B159&gt;=DATE(2026,7,1),B159&lt;=DATE(2026,9,30),G159&gt;=DATE(2026,10,1),G159&lt;=DATE(2026,10,7)),1,0)</x:f>
        <x:v>0</x:v>
      </x:c>
      <x:c r="R159" t="n">
        <x:f>IF(AND(B159&gt;=DATE(2026,7,1),B159&lt;=DATE(2026,9,30),G159&gt;DATE(2026,10,7)),1,0)</x:f>
        <x:v>0</x:v>
      </x:c>
      <x:c r="S159" t="n">
        <x:f>IF(AND(M159=1,J159&lt;&gt;"Ninguna"),1,0)</x:f>
        <x:v>0</x:v>
      </x:c>
    </x:row>
    <x:row r="160">
      <x:c r="A160" t="str">
        <x:v>PED-0159</x:v>
      </x:c>
      <x:c r="B160" s="12" t="n">
        <x:v>46273</x:v>
      </x:c>
      <x:c r="C160" t="str">
        <x:v>MecaParts</x:v>
      </x:c>
      <x:c r="D160" t="str">
        <x:v>Componentes mecánicos</x:v>
      </x:c>
      <x:c r="E160" s="10" t="n">
        <x:v>4213.23</x:v>
      </x:c>
      <x:c r="F160" s="12" t="n">
        <x:v>46283</x:v>
      </x:c>
      <x:c r="G160" s="12" t="n">
        <x:v>46292</x:v>
      </x:c>
      <x:c r="H160" t="n">
        <x:v>303</x:v>
      </x:c>
      <x:c r="I160" t="n">
        <x:v>0</x:v>
      </x:c>
      <x:c r="J160" t="str">
        <x:v>Retraso</x:v>
      </x:c>
      <x:c r="K160" t="str">
        <x:v>No</x:v>
      </x:c>
      <x:c r="L160" t="str">
        <x:v>Zaragoza</x:v>
      </x:c>
      <x:c r="M160" t="n">
        <x:f>IF(AND(B160&gt;=DATE(2026,7,1),B160&lt;=DATE(2026,9,30),G160&gt;=DATE(2026,7,1),G160&lt;=DATE(2026,9,30)),1,0)</x:f>
        <x:v>1</x:v>
      </x:c>
      <x:c r="N160" t="n">
        <x:f>IF(M160=1,IF(G160&lt;=F160,1,0),0)</x:f>
        <x:v>0</x:v>
      </x:c>
      <x:c r="O160" t="n">
        <x:f>IF(AND(M160=1,K160="Sí",G160&gt;F160),1,0)</x:f>
        <x:v>0</x:v>
      </x:c>
      <x:c r="P160" t="n">
        <x:f>IF(AND(M160=1,I160&gt;0),1,0)</x:f>
        <x:v>0</x:v>
      </x:c>
      <x:c r="Q160" t="n">
        <x:f>IF(AND(B160&gt;=DATE(2026,7,1),B160&lt;=DATE(2026,9,30),G160&gt;=DATE(2026,10,1),G160&lt;=DATE(2026,10,7)),1,0)</x:f>
        <x:v>0</x:v>
      </x:c>
      <x:c r="R160" t="n">
        <x:f>IF(AND(B160&gt;=DATE(2026,7,1),B160&lt;=DATE(2026,9,30),G160&gt;DATE(2026,10,7)),1,0)</x:f>
        <x:v>0</x:v>
      </x:c>
      <x:c r="S160" t="n">
        <x:f>IF(AND(M160=1,J160&lt;&gt;"Ninguna"),1,0)</x:f>
        <x:v>1</x:v>
      </x:c>
    </x:row>
    <x:row r="161">
      <x:c r="A161" t="str">
        <x:v>PED-0160</x:v>
      </x:c>
      <x:c r="B161" s="12" t="n">
        <x:v>46275</x:v>
      </x:c>
      <x:c r="C161" t="str">
        <x:v>ElectraSupply</x:v>
      </x:c>
      <x:c r="D161" t="str">
        <x:v>Componentes eléctricos</x:v>
      </x:c>
      <x:c r="E161" s="10" t="n">
        <x:v>1834.26</x:v>
      </x:c>
      <x:c r="F161" s="12" t="n">
        <x:v>46289</x:v>
      </x:c>
      <x:c r="G161" s="12" t="n">
        <x:v>46295</x:v>
      </x:c>
      <x:c r="H161" t="n">
        <x:v>41</x:v>
      </x:c>
      <x:c r="I161" t="n">
        <x:v>0</x:v>
      </x:c>
      <x:c r="J161" t="str">
        <x:v>Cantidad incorrecta</x:v>
      </x:c>
      <x:c r="K161" t="str">
        <x:v>No</x:v>
      </x:c>
      <x:c r="L161" t="str">
        <x:v>Barcelona</x:v>
      </x:c>
      <x:c r="M161" t="n">
        <x:f>IF(AND(B161&gt;=DATE(2026,7,1),B161&lt;=DATE(2026,9,30),G161&gt;=DATE(2026,7,1),G161&lt;=DATE(2026,9,30)),1,0)</x:f>
        <x:v>1</x:v>
      </x:c>
      <x:c r="N161" t="n">
        <x:f>IF(M161=1,IF(G161&lt;=F161,1,0),0)</x:f>
        <x:v>0</x:v>
      </x:c>
      <x:c r="O161" t="n">
        <x:f>IF(AND(M161=1,K161="Sí",G161&gt;F161),1,0)</x:f>
        <x:v>0</x:v>
      </x:c>
      <x:c r="P161" t="n">
        <x:f>IF(AND(M161=1,I161&gt;0),1,0)</x:f>
        <x:v>0</x:v>
      </x:c>
      <x:c r="Q161" t="n">
        <x:f>IF(AND(B161&gt;=DATE(2026,7,1),B161&lt;=DATE(2026,9,30),G161&gt;=DATE(2026,10,1),G161&lt;=DATE(2026,10,7)),1,0)</x:f>
        <x:v>0</x:v>
      </x:c>
      <x:c r="R161" t="n">
        <x:f>IF(AND(B161&gt;=DATE(2026,7,1),B161&lt;=DATE(2026,9,30),G161&gt;DATE(2026,10,7)),1,0)</x:f>
        <x:v>0</x:v>
      </x:c>
      <x:c r="S161" t="n">
        <x:f>IF(AND(M161=1,J161&lt;&gt;"Ninguna"),1,0)</x:f>
        <x:v>1</x:v>
      </x:c>
    </x:row>
    <x:row r="162">
      <x:c r="A162" t="str">
        <x:v>PED-0161</x:v>
      </x:c>
      <x:c r="B162" s="12" t="n">
        <x:v>46269</x:v>
      </x:c>
      <x:c r="C162" t="str">
        <x:v>PackPro</x:v>
      </x:c>
      <x:c r="D162" t="str">
        <x:v>Embalaje</x:v>
      </x:c>
      <x:c r="E162" s="10" t="n">
        <x:v>7236.18</x:v>
      </x:c>
      <x:c r="F162" s="12" t="n">
        <x:v>46275</x:v>
      </x:c>
      <x:c r="G162" s="12" t="n">
        <x:v>46273</x:v>
      </x:c>
      <x:c r="H162" t="n">
        <x:v>149</x:v>
      </x:c>
      <x:c r="I162" t="n">
        <x:v>0</x:v>
      </x:c>
      <x:c r="J162" t="str">
        <x:v>Ninguna</x:v>
      </x:c>
      <x:c r="K162" t="str">
        <x:v>No</x:v>
      </x:c>
      <x:c r="L162" t="str">
        <x:v>Barcelona</x:v>
      </x:c>
      <x:c r="M162" t="n">
        <x:f>IF(AND(B162&gt;=DATE(2026,7,1),B162&lt;=DATE(2026,9,30),G162&gt;=DATE(2026,7,1),G162&lt;=DATE(2026,9,30)),1,0)</x:f>
        <x:v>1</x:v>
      </x:c>
      <x:c r="N162" t="n">
        <x:f>IF(M162=1,IF(G162&lt;=F162,1,0),0)</x:f>
        <x:v>1</x:v>
      </x:c>
      <x:c r="O162" t="n">
        <x:f>IF(AND(M162=1,K162="Sí",G162&gt;F162),1,0)</x:f>
        <x:v>0</x:v>
      </x:c>
      <x:c r="P162" t="n">
        <x:f>IF(AND(M162=1,I162&gt;0),1,0)</x:f>
        <x:v>0</x:v>
      </x:c>
      <x:c r="Q162" t="n">
        <x:f>IF(AND(B162&gt;=DATE(2026,7,1),B162&lt;=DATE(2026,9,30),G162&gt;=DATE(2026,10,1),G162&lt;=DATE(2026,10,7)),1,0)</x:f>
        <x:v>0</x:v>
      </x:c>
      <x:c r="R162" t="n">
        <x:f>IF(AND(B162&gt;=DATE(2026,7,1),B162&lt;=DATE(2026,9,30),G162&gt;DATE(2026,10,7)),1,0)</x:f>
        <x:v>0</x:v>
      </x:c>
      <x:c r="S162" t="n">
        <x:f>IF(AND(M162=1,J162&lt;&gt;"Ninguna"),1,0)</x:f>
        <x:v>0</x:v>
      </x:c>
    </x:row>
    <x:row r="163">
      <x:c r="A163" t="str">
        <x:v>PED-0162</x:v>
      </x:c>
      <x:c r="B163" s="12" t="n">
        <x:v>46237</x:v>
      </x:c>
      <x:c r="C163" t="str">
        <x:v>ElectraSupply</x:v>
      </x:c>
      <x:c r="D163" t="str">
        <x:v>Componentes eléctricos</x:v>
      </x:c>
      <x:c r="E163" s="10" t="n">
        <x:v>7206.84</x:v>
      </x:c>
      <x:c r="F163" s="12" t="n">
        <x:v>46251</x:v>
      </x:c>
      <x:c r="G163" s="12" t="n">
        <x:v>46257</x:v>
      </x:c>
      <x:c r="H163" t="n">
        <x:v>156</x:v>
      </x:c>
      <x:c r="I163" t="n">
        <x:v>0</x:v>
      </x:c>
      <x:c r="J163" t="str">
        <x:v>Ninguna</x:v>
      </x:c>
      <x:c r="K163" t="str">
        <x:v>No</x:v>
      </x:c>
      <x:c r="L163" t="str">
        <x:v>Zaragoza</x:v>
      </x:c>
      <x:c r="M163" t="n">
        <x:f>IF(AND(B163&gt;=DATE(2026,7,1),B163&lt;=DATE(2026,9,30),G163&gt;=DATE(2026,7,1),G163&lt;=DATE(2026,9,30)),1,0)</x:f>
        <x:v>1</x:v>
      </x:c>
      <x:c r="N163" t="n">
        <x:f>IF(M163=1,IF(G163&lt;=F163,1,0),0)</x:f>
        <x:v>0</x:v>
      </x:c>
      <x:c r="O163" t="n">
        <x:f>IF(AND(M163=1,K163="Sí",G163&gt;F163),1,0)</x:f>
        <x:v>0</x:v>
      </x:c>
      <x:c r="P163" t="n">
        <x:f>IF(AND(M163=1,I163&gt;0),1,0)</x:f>
        <x:v>0</x:v>
      </x:c>
      <x:c r="Q163" t="n">
        <x:f>IF(AND(B163&gt;=DATE(2026,7,1),B163&lt;=DATE(2026,9,30),G163&gt;=DATE(2026,10,1),G163&lt;=DATE(2026,10,7)),1,0)</x:f>
        <x:v>0</x:v>
      </x:c>
      <x:c r="R163" t="n">
        <x:f>IF(AND(B163&gt;=DATE(2026,7,1),B163&lt;=DATE(2026,9,30),G163&gt;DATE(2026,10,7)),1,0)</x:f>
        <x:v>0</x:v>
      </x:c>
      <x:c r="S163" t="n">
        <x:f>IF(AND(M163=1,J163&lt;&gt;"Ninguna"),1,0)</x:f>
        <x:v>0</x:v>
      </x:c>
    </x:row>
    <x:row r="164">
      <x:c r="A164" t="str">
        <x:v>PED-0163</x:v>
      </x:c>
      <x:c r="B164" s="12" t="n">
        <x:v>46259</x:v>
      </x:c>
      <x:c r="C164" t="str">
        <x:v>MetalNova</x:v>
      </x:c>
      <x:c r="D164" t="str">
        <x:v>Materia prima</x:v>
      </x:c>
      <x:c r="E164" s="10" t="n">
        <x:v>17679.44</x:v>
      </x:c>
      <x:c r="F164" s="12" t="n">
        <x:v>46270</x:v>
      </x:c>
      <x:c r="G164" s="12" t="n">
        <x:v>46274</x:v>
      </x:c>
      <x:c r="H164" t="n">
        <x:v>345</x:v>
      </x:c>
      <x:c r="I164" t="n">
        <x:v>0</x:v>
      </x:c>
      <x:c r="J164" t="str">
        <x:v>Ninguna</x:v>
      </x:c>
      <x:c r="K164" t="str">
        <x:v>No</x:v>
      </x:c>
      <x:c r="L164" t="str">
        <x:v>Barcelona</x:v>
      </x:c>
      <x:c r="M164" t="n">
        <x:f>IF(AND(B164&gt;=DATE(2026,7,1),B164&lt;=DATE(2026,9,30),G164&gt;=DATE(2026,7,1),G164&lt;=DATE(2026,9,30)),1,0)</x:f>
        <x:v>1</x:v>
      </x:c>
      <x:c r="N164" t="n">
        <x:f>IF(M164=1,IF(G164&lt;=F164,1,0),0)</x:f>
        <x:v>0</x:v>
      </x:c>
      <x:c r="O164" t="n">
        <x:f>IF(AND(M164=1,K164="Sí",G164&gt;F164),1,0)</x:f>
        <x:v>0</x:v>
      </x:c>
      <x:c r="P164" t="n">
        <x:f>IF(AND(M164=1,I164&gt;0),1,0)</x:f>
        <x:v>0</x:v>
      </x:c>
      <x:c r="Q164" t="n">
        <x:f>IF(AND(B164&gt;=DATE(2026,7,1),B164&lt;=DATE(2026,9,30),G164&gt;=DATE(2026,10,1),G164&lt;=DATE(2026,10,7)),1,0)</x:f>
        <x:v>0</x:v>
      </x:c>
      <x:c r="R164" t="n">
        <x:f>IF(AND(B164&gt;=DATE(2026,7,1),B164&lt;=DATE(2026,9,30),G164&gt;DATE(2026,10,7)),1,0)</x:f>
        <x:v>0</x:v>
      </x:c>
      <x:c r="S164" t="n">
        <x:f>IF(AND(M164=1,J164&lt;&gt;"Ninguna"),1,0)</x:f>
        <x:v>0</x:v>
      </x:c>
    </x:row>
    <x:row r="165">
      <x:c r="A165" t="str">
        <x:v>PED-0164</x:v>
      </x:c>
      <x:c r="B165" s="12" t="n">
        <x:v>46275</x:v>
      </x:c>
      <x:c r="C165" t="str">
        <x:v>MecaParts</x:v>
      </x:c>
      <x:c r="D165" t="str">
        <x:v>Componentes mecánicos</x:v>
      </x:c>
      <x:c r="E165" s="10" t="n">
        <x:v>653.17</x:v>
      </x:c>
      <x:c r="F165" s="12" t="n">
        <x:v>46286</x:v>
      </x:c>
      <x:c r="G165" s="12" t="n">
        <x:v>46289</x:v>
      </x:c>
      <x:c r="H165" t="n">
        <x:v>113</x:v>
      </x:c>
      <x:c r="I165" t="n">
        <x:v>0</x:v>
      </x:c>
      <x:c r="J165" t="str">
        <x:v>Ninguna</x:v>
      </x:c>
      <x:c r="K165" t="str">
        <x:v>No</x:v>
      </x:c>
      <x:c r="L165" t="str">
        <x:v>Barcelona</x:v>
      </x:c>
      <x:c r="M165" t="n">
        <x:f>IF(AND(B165&gt;=DATE(2026,7,1),B165&lt;=DATE(2026,9,30),G165&gt;=DATE(2026,7,1),G165&lt;=DATE(2026,9,30)),1,0)</x:f>
        <x:v>1</x:v>
      </x:c>
      <x:c r="N165" t="n">
        <x:f>IF(M165=1,IF(G165&lt;=F165,1,0),0)</x:f>
        <x:v>0</x:v>
      </x:c>
      <x:c r="O165" t="n">
        <x:f>IF(AND(M165=1,K165="Sí",G165&gt;F165),1,0)</x:f>
        <x:v>0</x:v>
      </x:c>
      <x:c r="P165" t="n">
        <x:f>IF(AND(M165=1,I165&gt;0),1,0)</x:f>
        <x:v>0</x:v>
      </x:c>
      <x:c r="Q165" t="n">
        <x:f>IF(AND(B165&gt;=DATE(2026,7,1),B165&lt;=DATE(2026,9,30),G165&gt;=DATE(2026,10,1),G165&lt;=DATE(2026,10,7)),1,0)</x:f>
        <x:v>0</x:v>
      </x:c>
      <x:c r="R165" t="n">
        <x:f>IF(AND(B165&gt;=DATE(2026,7,1),B165&lt;=DATE(2026,9,30),G165&gt;DATE(2026,10,7)),1,0)</x:f>
        <x:v>0</x:v>
      </x:c>
      <x:c r="S165" t="n">
        <x:f>IF(AND(M165=1,J165&lt;&gt;"Ninguna"),1,0)</x:f>
        <x:v>0</x:v>
      </x:c>
    </x:row>
    <x:row r="166">
      <x:c r="A166" t="str">
        <x:v>PED-0165</x:v>
      </x:c>
      <x:c r="B166" s="12" t="n">
        <x:v>46209</x:v>
      </x:c>
      <x:c r="C166" t="str">
        <x:v>MecaParts</x:v>
      </x:c>
      <x:c r="D166" t="str">
        <x:v>Componentes mecánicos</x:v>
      </x:c>
      <x:c r="E166" s="10" t="n">
        <x:v>13535.65</x:v>
      </x:c>
      <x:c r="F166" s="12" t="n">
        <x:v>46217</x:v>
      </x:c>
      <x:c r="G166" s="12" t="n">
        <x:v>46216</x:v>
      </x:c>
      <x:c r="H166" t="n">
        <x:v>399</x:v>
      </x:c>
      <x:c r="I166" t="n">
        <x:v>0</x:v>
      </x:c>
      <x:c r="J166" t="str">
        <x:v>Daño transporte</x:v>
      </x:c>
      <x:c r="K166" t="str">
        <x:v>No</x:v>
      </x:c>
      <x:c r="L166" t="str">
        <x:v>Valencia</x:v>
      </x:c>
      <x:c r="M166" t="n">
        <x:f>IF(AND(B166&gt;=DATE(2026,7,1),B166&lt;=DATE(2026,9,30),G166&gt;=DATE(2026,7,1),G166&lt;=DATE(2026,9,30)),1,0)</x:f>
        <x:v>1</x:v>
      </x:c>
      <x:c r="N166" t="n">
        <x:f>IF(M166=1,IF(G166&lt;=F166,1,0),0)</x:f>
        <x:v>1</x:v>
      </x:c>
      <x:c r="O166" t="n">
        <x:f>IF(AND(M166=1,K166="Sí",G166&gt;F166),1,0)</x:f>
        <x:v>0</x:v>
      </x:c>
      <x:c r="P166" t="n">
        <x:f>IF(AND(M166=1,I166&gt;0),1,0)</x:f>
        <x:v>0</x:v>
      </x:c>
      <x:c r="Q166" t="n">
        <x:f>IF(AND(B166&gt;=DATE(2026,7,1),B166&lt;=DATE(2026,9,30),G166&gt;=DATE(2026,10,1),G166&lt;=DATE(2026,10,7)),1,0)</x:f>
        <x:v>0</x:v>
      </x:c>
      <x:c r="R166" t="n">
        <x:f>IF(AND(B166&gt;=DATE(2026,7,1),B166&lt;=DATE(2026,9,30),G166&gt;DATE(2026,10,7)),1,0)</x:f>
        <x:v>0</x:v>
      </x:c>
      <x:c r="S166" t="n">
        <x:f>IF(AND(M166=1,J166&lt;&gt;"Ninguna"),1,0)</x:f>
        <x:v>1</x:v>
      </x:c>
    </x:row>
    <x:row r="167">
      <x:c r="A167" t="str">
        <x:v>PED-0166</x:v>
      </x:c>
      <x:c r="B167" s="12" t="n">
        <x:v>46237</x:v>
      </x:c>
      <x:c r="C167" t="str">
        <x:v>MetalNova</x:v>
      </x:c>
      <x:c r="D167" t="str">
        <x:v>Componentes mecánicos</x:v>
      </x:c>
      <x:c r="E167" s="10" t="n">
        <x:v>19012.3</x:v>
      </x:c>
      <x:c r="F167" s="12" t="n">
        <x:v>46246</x:v>
      </x:c>
      <x:c r="G167" s="12" t="n">
        <x:v>46247</x:v>
      </x:c>
      <x:c r="H167" t="n">
        <x:v>383</x:v>
      </x:c>
      <x:c r="I167" t="n">
        <x:v>17</x:v>
      </x:c>
      <x:c r="J167" t="str">
        <x:v>Ninguna</x:v>
      </x:c>
      <x:c r="K167" t="str">
        <x:v>No</x:v>
      </x:c>
      <x:c r="L167" t="str">
        <x:v>Valencia</x:v>
      </x:c>
      <x:c r="M167" t="n">
        <x:f>IF(AND(B167&gt;=DATE(2026,7,1),B167&lt;=DATE(2026,9,30),G167&gt;=DATE(2026,7,1),G167&lt;=DATE(2026,9,30)),1,0)</x:f>
        <x:v>1</x:v>
      </x:c>
      <x:c r="N167" t="n">
        <x:f>IF(M167=1,IF(G167&lt;=F167,1,0),0)</x:f>
        <x:v>0</x:v>
      </x:c>
      <x:c r="O167" t="n">
        <x:f>IF(AND(M167=1,K167="Sí",G167&gt;F167),1,0)</x:f>
        <x:v>0</x:v>
      </x:c>
      <x:c r="P167" t="n">
        <x:f>IF(AND(M167=1,I167&gt;0),1,0)</x:f>
        <x:v>1</x:v>
      </x:c>
      <x:c r="Q167" t="n">
        <x:f>IF(AND(B167&gt;=DATE(2026,7,1),B167&lt;=DATE(2026,9,30),G167&gt;=DATE(2026,10,1),G167&lt;=DATE(2026,10,7)),1,0)</x:f>
        <x:v>0</x:v>
      </x:c>
      <x:c r="R167" t="n">
        <x:f>IF(AND(B167&gt;=DATE(2026,7,1),B167&lt;=DATE(2026,9,30),G167&gt;DATE(2026,10,7)),1,0)</x:f>
        <x:v>0</x:v>
      </x:c>
      <x:c r="S167" t="n">
        <x:f>IF(AND(M167=1,J167&lt;&gt;"Ninguna"),1,0)</x:f>
        <x:v>0</x:v>
      </x:c>
    </x:row>
    <x:row r="168">
      <x:c r="A168" t="str">
        <x:v>PED-0167</x:v>
      </x:c>
      <x:c r="B168" s="12" t="n">
        <x:v>46264</x:v>
      </x:c>
      <x:c r="C168" t="str">
        <x:v>MecaParts</x:v>
      </x:c>
      <x:c r="D168" t="str">
        <x:v>Componentes mecánicos</x:v>
      </x:c>
      <x:c r="E168" s="10" t="n">
        <x:v>6610.77</x:v>
      </x:c>
      <x:c r="F168" s="12" t="n">
        <x:v>46273</x:v>
      </x:c>
      <x:c r="G168" s="12" t="n">
        <x:v>46274</x:v>
      </x:c>
      <x:c r="H168" t="n">
        <x:v>144</x:v>
      </x:c>
      <x:c r="I168" t="n">
        <x:v>0</x:v>
      </x:c>
      <x:c r="J168" t="str">
        <x:v>Ninguna</x:v>
      </x:c>
      <x:c r="K168" t="str">
        <x:v>No</x:v>
      </x:c>
      <x:c r="L168" t="str">
        <x:v>Zaragoza</x:v>
      </x:c>
      <x:c r="M168" t="n">
        <x:f>IF(AND(B168&gt;=DATE(2026,7,1),B168&lt;=DATE(2026,9,30),G168&gt;=DATE(2026,7,1),G168&lt;=DATE(2026,9,30)),1,0)</x:f>
        <x:v>1</x:v>
      </x:c>
      <x:c r="N168" t="n">
        <x:f>IF(M168=1,IF(G168&lt;=F168,1,0),0)</x:f>
        <x:v>0</x:v>
      </x:c>
      <x:c r="O168" t="n">
        <x:f>IF(AND(M168=1,K168="Sí",G168&gt;F168),1,0)</x:f>
        <x:v>0</x:v>
      </x:c>
      <x:c r="P168" t="n">
        <x:f>IF(AND(M168=1,I168&gt;0),1,0)</x:f>
        <x:v>0</x:v>
      </x:c>
      <x:c r="Q168" t="n">
        <x:f>IF(AND(B168&gt;=DATE(2026,7,1),B168&lt;=DATE(2026,9,30),G168&gt;=DATE(2026,10,1),G168&lt;=DATE(2026,10,7)),1,0)</x:f>
        <x:v>0</x:v>
      </x:c>
      <x:c r="R168" t="n">
        <x:f>IF(AND(B168&gt;=DATE(2026,7,1),B168&lt;=DATE(2026,9,30),G168&gt;DATE(2026,10,7)),1,0)</x:f>
        <x:v>0</x:v>
      </x:c>
      <x:c r="S168" t="n">
        <x:f>IF(AND(M168=1,J168&lt;&gt;"Ninguna"),1,0)</x:f>
        <x:v>0</x:v>
      </x:c>
    </x:row>
    <x:row r="169">
      <x:c r="A169" t="str">
        <x:v>PED-0168</x:v>
      </x:c>
      <x:c r="B169" s="12" t="n">
        <x:v>46269</x:v>
      </x:c>
      <x:c r="C169" t="str">
        <x:v>OfiPlus</x:v>
      </x:c>
      <x:c r="D169" t="str">
        <x:v>Consumibles</x:v>
      </x:c>
      <x:c r="E169" s="10" t="n">
        <x:v>13646.85</x:v>
      </x:c>
      <x:c r="F169" s="12" t="n">
        <x:v>46273</x:v>
      </x:c>
      <x:c r="G169" s="12" t="n">
        <x:v>46275</x:v>
      </x:c>
      <x:c r="H169" t="n">
        <x:v>269</x:v>
      </x:c>
      <x:c r="I169" t="n">
        <x:v>0</x:v>
      </x:c>
      <x:c r="J169" t="str">
        <x:v>Ninguna</x:v>
      </x:c>
      <x:c r="K169" t="str">
        <x:v>No</x:v>
      </x:c>
      <x:c r="L169" t="str">
        <x:v>Zaragoza</x:v>
      </x:c>
      <x:c r="M169" t="n">
        <x:f>IF(AND(B169&gt;=DATE(2026,7,1),B169&lt;=DATE(2026,9,30),G169&gt;=DATE(2026,7,1),G169&lt;=DATE(2026,9,30)),1,0)</x:f>
        <x:v>1</x:v>
      </x:c>
      <x:c r="N169" t="n">
        <x:f>IF(M169=1,IF(G169&lt;=F169,1,0),0)</x:f>
        <x:v>0</x:v>
      </x:c>
      <x:c r="O169" t="n">
        <x:f>IF(AND(M169=1,K169="Sí",G169&gt;F169),1,0)</x:f>
        <x:v>0</x:v>
      </x:c>
      <x:c r="P169" t="n">
        <x:f>IF(AND(M169=1,I169&gt;0),1,0)</x:f>
        <x:v>0</x:v>
      </x:c>
      <x:c r="Q169" t="n">
        <x:f>IF(AND(B169&gt;=DATE(2026,7,1),B169&lt;=DATE(2026,9,30),G169&gt;=DATE(2026,10,1),G169&lt;=DATE(2026,10,7)),1,0)</x:f>
        <x:v>0</x:v>
      </x:c>
      <x:c r="R169" t="n">
        <x:f>IF(AND(B169&gt;=DATE(2026,7,1),B169&lt;=DATE(2026,9,30),G169&gt;DATE(2026,10,7)),1,0)</x:f>
        <x:v>0</x:v>
      </x:c>
      <x:c r="S169" t="n">
        <x:f>IF(AND(M169=1,J169&lt;&gt;"Ninguna"),1,0)</x:f>
        <x:v>0</x:v>
      </x:c>
    </x:row>
    <x:row r="170">
      <x:c r="A170" t="str">
        <x:v>PED-0169</x:v>
      </x:c>
      <x:c r="B170" s="12" t="n">
        <x:v>46218</x:v>
      </x:c>
      <x:c r="C170" t="str">
        <x:v>ElectraSupply</x:v>
      </x:c>
      <x:c r="D170" t="str">
        <x:v>Componentes eléctricos</x:v>
      </x:c>
      <x:c r="E170" s="10" t="n">
        <x:v>1029.55</x:v>
      </x:c>
      <x:c r="F170" s="12" t="n">
        <x:v>46231</x:v>
      </x:c>
      <x:c r="G170" s="12" t="n">
        <x:v>46239</x:v>
      </x:c>
      <x:c r="H170" t="n">
        <x:v>168</x:v>
      </x:c>
      <x:c r="I170" t="n">
        <x:v>0</x:v>
      </x:c>
      <x:c r="J170" t="str">
        <x:v>Retraso</x:v>
      </x:c>
      <x:c r="K170" t="str">
        <x:v>No</x:v>
      </x:c>
      <x:c r="L170" t="str">
        <x:v>Zaragoza</x:v>
      </x:c>
      <x:c r="M170" t="n">
        <x:f>IF(AND(B170&gt;=DATE(2026,7,1),B170&lt;=DATE(2026,9,30),G170&gt;=DATE(2026,7,1),G170&lt;=DATE(2026,9,30)),1,0)</x:f>
        <x:v>1</x:v>
      </x:c>
      <x:c r="N170" t="n">
        <x:f>IF(M170=1,IF(G170&lt;=F170,1,0),0)</x:f>
        <x:v>0</x:v>
      </x:c>
      <x:c r="O170" t="n">
        <x:f>IF(AND(M170=1,K170="Sí",G170&gt;F170),1,0)</x:f>
        <x:v>0</x:v>
      </x:c>
      <x:c r="P170" t="n">
        <x:f>IF(AND(M170=1,I170&gt;0),1,0)</x:f>
        <x:v>0</x:v>
      </x:c>
      <x:c r="Q170" t="n">
        <x:f>IF(AND(B170&gt;=DATE(2026,7,1),B170&lt;=DATE(2026,9,30),G170&gt;=DATE(2026,10,1),G170&lt;=DATE(2026,10,7)),1,0)</x:f>
        <x:v>0</x:v>
      </x:c>
      <x:c r="R170" t="n">
        <x:f>IF(AND(B170&gt;=DATE(2026,7,1),B170&lt;=DATE(2026,9,30),G170&gt;DATE(2026,10,7)),1,0)</x:f>
        <x:v>0</x:v>
      </x:c>
      <x:c r="S170" t="n">
        <x:f>IF(AND(M170=1,J170&lt;&gt;"Ninguna"),1,0)</x:f>
        <x:v>1</x:v>
      </x:c>
    </x:row>
    <x:row r="171">
      <x:c r="A171" t="str">
        <x:v>PED-0170</x:v>
      </x:c>
      <x:c r="B171" s="12" t="n">
        <x:v>46259</x:v>
      </x:c>
      <x:c r="C171" t="str">
        <x:v>PackPro</x:v>
      </x:c>
      <x:c r="D171" t="str">
        <x:v>Embalaje</x:v>
      </x:c>
      <x:c r="E171" s="10" t="n">
        <x:v>1972.01</x:v>
      </x:c>
      <x:c r="F171" s="12" t="n">
        <x:v>46265</x:v>
      </x:c>
      <x:c r="G171" s="12" t="n">
        <x:v>46264</x:v>
      </x:c>
      <x:c r="H171" t="n">
        <x:v>95</x:v>
      </x:c>
      <x:c r="I171" t="n">
        <x:v>0</x:v>
      </x:c>
      <x:c r="J171" t="str">
        <x:v>Ninguna</x:v>
      </x:c>
      <x:c r="K171" t="str">
        <x:v>Sí</x:v>
      </x:c>
      <x:c r="L171" t="str">
        <x:v>Barcelona</x:v>
      </x:c>
      <x:c r="M171" t="n">
        <x:f>IF(AND(B171&gt;=DATE(2026,7,1),B171&lt;=DATE(2026,9,30),G171&gt;=DATE(2026,7,1),G171&lt;=DATE(2026,9,30)),1,0)</x:f>
        <x:v>1</x:v>
      </x:c>
      <x:c r="N171" t="n">
        <x:f>IF(M171=1,IF(G171&lt;=F171,1,0),0)</x:f>
        <x:v>1</x:v>
      </x:c>
      <x:c r="O171" t="n">
        <x:f>IF(AND(M171=1,K171="Sí",G171&gt;F171),1,0)</x:f>
        <x:v>0</x:v>
      </x:c>
      <x:c r="P171" t="n">
        <x:f>IF(AND(M171=1,I171&gt;0),1,0)</x:f>
        <x:v>0</x:v>
      </x:c>
      <x:c r="Q171" t="n">
        <x:f>IF(AND(B171&gt;=DATE(2026,7,1),B171&lt;=DATE(2026,9,30),G171&gt;=DATE(2026,10,1),G171&lt;=DATE(2026,10,7)),1,0)</x:f>
        <x:v>0</x:v>
      </x:c>
      <x:c r="R171" t="n">
        <x:f>IF(AND(B171&gt;=DATE(2026,7,1),B171&lt;=DATE(2026,9,30),G171&gt;DATE(2026,10,7)),1,0)</x:f>
        <x:v>0</x:v>
      </x:c>
      <x:c r="S171" t="n">
        <x:f>IF(AND(M171=1,J171&lt;&gt;"Ninguna"),1,0)</x:f>
        <x:v>0</x:v>
      </x:c>
    </x:row>
    <x:row r="172">
      <x:c r="A172" t="str">
        <x:v>PED-0171</x:v>
      </x:c>
      <x:c r="B172" s="12" t="n">
        <x:v>46252</x:v>
      </x:c>
      <x:c r="C172" t="str">
        <x:v>MetalNova</x:v>
      </x:c>
      <x:c r="D172" t="str">
        <x:v>Componentes mecánicos</x:v>
      </x:c>
      <x:c r="E172" s="10" t="n">
        <x:v>541.94</x:v>
      </x:c>
      <x:c r="F172" s="12" t="n">
        <x:v>46263</x:v>
      </x:c>
      <x:c r="G172" s="12" t="n">
        <x:v>46263</x:v>
      </x:c>
      <x:c r="H172" t="n">
        <x:v>87</x:v>
      </x:c>
      <x:c r="I172" t="n">
        <x:v>0</x:v>
      </x:c>
      <x:c r="J172" t="str">
        <x:v>Cantidad incorrecta</x:v>
      </x:c>
      <x:c r="K172" t="str">
        <x:v>No</x:v>
      </x:c>
      <x:c r="L172" t="str">
        <x:v>Valencia</x:v>
      </x:c>
      <x:c r="M172" t="n">
        <x:f>IF(AND(B172&gt;=DATE(2026,7,1),B172&lt;=DATE(2026,9,30),G172&gt;=DATE(2026,7,1),G172&lt;=DATE(2026,9,30)),1,0)</x:f>
        <x:v>1</x:v>
      </x:c>
      <x:c r="N172" t="n">
        <x:f>IF(M172=1,IF(G172&lt;=F172,1,0),0)</x:f>
        <x:v>1</x:v>
      </x:c>
      <x:c r="O172" t="n">
        <x:f>IF(AND(M172=1,K172="Sí",G172&gt;F172),1,0)</x:f>
        <x:v>0</x:v>
      </x:c>
      <x:c r="P172" t="n">
        <x:f>IF(AND(M172=1,I172&gt;0),1,0)</x:f>
        <x:v>0</x:v>
      </x:c>
      <x:c r="Q172" t="n">
        <x:f>IF(AND(B172&gt;=DATE(2026,7,1),B172&lt;=DATE(2026,9,30),G172&gt;=DATE(2026,10,1),G172&lt;=DATE(2026,10,7)),1,0)</x:f>
        <x:v>0</x:v>
      </x:c>
      <x:c r="R172" t="n">
        <x:f>IF(AND(B172&gt;=DATE(2026,7,1),B172&lt;=DATE(2026,9,30),G172&gt;DATE(2026,10,7)),1,0)</x:f>
        <x:v>0</x:v>
      </x:c>
      <x:c r="S172" t="n">
        <x:f>IF(AND(M172=1,J172&lt;&gt;"Ninguna"),1,0)</x:f>
        <x:v>1</x:v>
      </x:c>
    </x:row>
    <x:row r="173">
      <x:c r="A173" t="str">
        <x:v>PED-0172</x:v>
      </x:c>
      <x:c r="B173" s="12" t="n">
        <x:v>46265</x:v>
      </x:c>
      <x:c r="C173" t="str">
        <x:v>PackPro</x:v>
      </x:c>
      <x:c r="D173" t="str">
        <x:v>Embalaje</x:v>
      </x:c>
      <x:c r="E173" s="10" t="n">
        <x:v>10302.83</x:v>
      </x:c>
      <x:c r="F173" s="12" t="n">
        <x:v>46272</x:v>
      </x:c>
      <x:c r="G173" s="12" t="n">
        <x:v>46270</x:v>
      </x:c>
      <x:c r="H173" t="n">
        <x:v>287</x:v>
      </x:c>
      <x:c r="I173" t="n">
        <x:v>30</x:v>
      </x:c>
      <x:c r="J173" t="str">
        <x:v>Calidad</x:v>
      </x:c>
      <x:c r="K173" t="str">
        <x:v>Sí</x:v>
      </x:c>
      <x:c r="L173" t="str">
        <x:v>Valencia</x:v>
      </x:c>
      <x:c r="M173" t="n">
        <x:f>IF(AND(B173&gt;=DATE(2026,7,1),B173&lt;=DATE(2026,9,30),G173&gt;=DATE(2026,7,1),G173&lt;=DATE(2026,9,30)),1,0)</x:f>
        <x:v>1</x:v>
      </x:c>
      <x:c r="N173" t="n">
        <x:f>IF(M173=1,IF(G173&lt;=F173,1,0),0)</x:f>
        <x:v>1</x:v>
      </x:c>
      <x:c r="O173" t="n">
        <x:f>IF(AND(M173=1,K173="Sí",G173&gt;F173),1,0)</x:f>
        <x:v>0</x:v>
      </x:c>
      <x:c r="P173" t="n">
        <x:f>IF(AND(M173=1,I173&gt;0),1,0)</x:f>
        <x:v>1</x:v>
      </x:c>
      <x:c r="Q173" t="n">
        <x:f>IF(AND(B173&gt;=DATE(2026,7,1),B173&lt;=DATE(2026,9,30),G173&gt;=DATE(2026,10,1),G173&lt;=DATE(2026,10,7)),1,0)</x:f>
        <x:v>0</x:v>
      </x:c>
      <x:c r="R173" t="n">
        <x:f>IF(AND(B173&gt;=DATE(2026,7,1),B173&lt;=DATE(2026,9,30),G173&gt;DATE(2026,10,7)),1,0)</x:f>
        <x:v>0</x:v>
      </x:c>
      <x:c r="S173" t="n">
        <x:f>IF(AND(M173=1,J173&lt;&gt;"Ninguna"),1,0)</x:f>
        <x:v>1</x:v>
      </x:c>
    </x:row>
    <x:row r="174">
      <x:c r="A174" t="str">
        <x:v>PED-0173</x:v>
      </x:c>
      <x:c r="B174" s="12" t="n">
        <x:v>46215</x:v>
      </x:c>
      <x:c r="C174" t="str">
        <x:v>ElectraSupply</x:v>
      </x:c>
      <x:c r="D174" t="str">
        <x:v>Componentes eléctricos</x:v>
      </x:c>
      <x:c r="E174" s="10" t="n">
        <x:v>3317.1</x:v>
      </x:c>
      <x:c r="F174" s="12" t="n">
        <x:v>46227</x:v>
      </x:c>
      <x:c r="G174" s="12" t="n">
        <x:v>46230</x:v>
      </x:c>
      <x:c r="H174" t="n">
        <x:v>78</x:v>
      </x:c>
      <x:c r="I174" t="n">
        <x:v>0</x:v>
      </x:c>
      <x:c r="J174" t="str">
        <x:v>Ninguna</x:v>
      </x:c>
      <x:c r="K174" t="str">
        <x:v>No</x:v>
      </x:c>
      <x:c r="L174" t="str">
        <x:v>Zaragoza</x:v>
      </x:c>
      <x:c r="M174" t="n">
        <x:f>IF(AND(B174&gt;=DATE(2026,7,1),B174&lt;=DATE(2026,9,30),G174&gt;=DATE(2026,7,1),G174&lt;=DATE(2026,9,30)),1,0)</x:f>
        <x:v>1</x:v>
      </x:c>
      <x:c r="N174" t="n">
        <x:f>IF(M174=1,IF(G174&lt;=F174,1,0),0)</x:f>
        <x:v>0</x:v>
      </x:c>
      <x:c r="O174" t="n">
        <x:f>IF(AND(M174=1,K174="Sí",G174&gt;F174),1,0)</x:f>
        <x:v>0</x:v>
      </x:c>
      <x:c r="P174" t="n">
        <x:f>IF(AND(M174=1,I174&gt;0),1,0)</x:f>
        <x:v>0</x:v>
      </x:c>
      <x:c r="Q174" t="n">
        <x:f>IF(AND(B174&gt;=DATE(2026,7,1),B174&lt;=DATE(2026,9,30),G174&gt;=DATE(2026,10,1),G174&lt;=DATE(2026,10,7)),1,0)</x:f>
        <x:v>0</x:v>
      </x:c>
      <x:c r="R174" t="n">
        <x:f>IF(AND(B174&gt;=DATE(2026,7,1),B174&lt;=DATE(2026,9,30),G174&gt;DATE(2026,10,7)),1,0)</x:f>
        <x:v>0</x:v>
      </x:c>
      <x:c r="S174" t="n">
        <x:f>IF(AND(M174=1,J174&lt;&gt;"Ninguna"),1,0)</x:f>
        <x:v>0</x:v>
      </x:c>
    </x:row>
    <x:row r="175">
      <x:c r="A175" t="str">
        <x:v>PED-0174</x:v>
      </x:c>
      <x:c r="B175" s="12" t="n">
        <x:v>46213</x:v>
      </x:c>
      <x:c r="C175" t="str">
        <x:v>ElectraSupply</x:v>
      </x:c>
      <x:c r="D175" t="str">
        <x:v>Componentes eléctricos</x:v>
      </x:c>
      <x:c r="E175" s="10" t="n">
        <x:v>14021.56</x:v>
      </x:c>
      <x:c r="F175" s="12" t="n">
        <x:v>46226</x:v>
      </x:c>
      <x:c r="G175" s="12" t="n">
        <x:v>46230</x:v>
      </x:c>
      <x:c r="H175" t="n">
        <x:v>330</x:v>
      </x:c>
      <x:c r="I175" t="n">
        <x:v>0</x:v>
      </x:c>
      <x:c r="J175" t="str">
        <x:v>Ninguna</x:v>
      </x:c>
      <x:c r="K175" t="str">
        <x:v>No</x:v>
      </x:c>
      <x:c r="L175" t="str">
        <x:v>Barcelona</x:v>
      </x:c>
      <x:c r="M175" t="n">
        <x:f>IF(AND(B175&gt;=DATE(2026,7,1),B175&lt;=DATE(2026,9,30),G175&gt;=DATE(2026,7,1),G175&lt;=DATE(2026,9,30)),1,0)</x:f>
        <x:v>1</x:v>
      </x:c>
      <x:c r="N175" t="n">
        <x:f>IF(M175=1,IF(G175&lt;=F175,1,0),0)</x:f>
        <x:v>0</x:v>
      </x:c>
      <x:c r="O175" t="n">
        <x:f>IF(AND(M175=1,K175="Sí",G175&gt;F175),1,0)</x:f>
        <x:v>0</x:v>
      </x:c>
      <x:c r="P175" t="n">
        <x:f>IF(AND(M175=1,I175&gt;0),1,0)</x:f>
        <x:v>0</x:v>
      </x:c>
      <x:c r="Q175" t="n">
        <x:f>IF(AND(B175&gt;=DATE(2026,7,1),B175&lt;=DATE(2026,9,30),G175&gt;=DATE(2026,10,1),G175&lt;=DATE(2026,10,7)),1,0)</x:f>
        <x:v>0</x:v>
      </x:c>
      <x:c r="R175" t="n">
        <x:f>IF(AND(B175&gt;=DATE(2026,7,1),B175&lt;=DATE(2026,9,30),G175&gt;DATE(2026,10,7)),1,0)</x:f>
        <x:v>0</x:v>
      </x:c>
      <x:c r="S175" t="n">
        <x:f>IF(AND(M175=1,J175&lt;&gt;"Ninguna"),1,0)</x:f>
        <x:v>0</x:v>
      </x:c>
    </x:row>
    <x:row r="176">
      <x:c r="A176" t="str">
        <x:v>PED-0175</x:v>
      </x:c>
      <x:c r="B176" s="12" t="n">
        <x:v>46207</x:v>
      </x:c>
      <x:c r="C176" t="str">
        <x:v>PackPro</x:v>
      </x:c>
      <x:c r="D176" t="str">
        <x:v>Embalaje</x:v>
      </x:c>
      <x:c r="E176" s="10" t="n">
        <x:v>12565.24</x:v>
      </x:c>
      <x:c r="F176" s="12" t="n">
        <x:v>46214</x:v>
      </x:c>
      <x:c r="G176" s="12" t="n">
        <x:v>46215</x:v>
      </x:c>
      <x:c r="H176" t="n">
        <x:v>399</x:v>
      </x:c>
      <x:c r="I176" t="n">
        <x:v>0</x:v>
      </x:c>
      <x:c r="J176" t="str">
        <x:v>Ninguna</x:v>
      </x:c>
      <x:c r="K176" t="str">
        <x:v>No</x:v>
      </x:c>
      <x:c r="L176" t="str">
        <x:v>Barcelona</x:v>
      </x:c>
      <x:c r="M176" t="n">
        <x:f>IF(AND(B176&gt;=DATE(2026,7,1),B176&lt;=DATE(2026,9,30),G176&gt;=DATE(2026,7,1),G176&lt;=DATE(2026,9,30)),1,0)</x:f>
        <x:v>1</x:v>
      </x:c>
      <x:c r="N176" t="n">
        <x:f>IF(M176=1,IF(G176&lt;=F176,1,0),0)</x:f>
        <x:v>0</x:v>
      </x:c>
      <x:c r="O176" t="n">
        <x:f>IF(AND(M176=1,K176="Sí",G176&gt;F176),1,0)</x:f>
        <x:v>0</x:v>
      </x:c>
      <x:c r="P176" t="n">
        <x:f>IF(AND(M176=1,I176&gt;0),1,0)</x:f>
        <x:v>0</x:v>
      </x:c>
      <x:c r="Q176" t="n">
        <x:f>IF(AND(B176&gt;=DATE(2026,7,1),B176&lt;=DATE(2026,9,30),G176&gt;=DATE(2026,10,1),G176&lt;=DATE(2026,10,7)),1,0)</x:f>
        <x:v>0</x:v>
      </x:c>
      <x:c r="R176" t="n">
        <x:f>IF(AND(B176&gt;=DATE(2026,7,1),B176&lt;=DATE(2026,9,30),G176&gt;DATE(2026,10,7)),1,0)</x:f>
        <x:v>0</x:v>
      </x:c>
      <x:c r="S176" t="n">
        <x:f>IF(AND(M176=1,J176&lt;&gt;"Ninguna"),1,0)</x:f>
        <x:v>0</x:v>
      </x:c>
    </x:row>
    <x:row r="177">
      <x:c r="A177" t="str">
        <x:v>PED-0176</x:v>
      </x:c>
      <x:c r="B177" s="12" t="n">
        <x:v>46275</x:v>
      </x:c>
      <x:c r="C177" t="str">
        <x:v>ElectraSupply</x:v>
      </x:c>
      <x:c r="D177" t="str">
        <x:v>Componentes eléctricos</x:v>
      </x:c>
      <x:c r="E177" s="10" t="n">
        <x:v>2572.1</x:v>
      </x:c>
      <x:c r="F177" s="12" t="n">
        <x:v>46288</x:v>
      </x:c>
      <x:c r="G177" s="12" t="n">
        <x:v>46293</x:v>
      </x:c>
      <x:c r="H177" t="n">
        <x:v>92</x:v>
      </x:c>
      <x:c r="I177" t="n">
        <x:v>0</x:v>
      </x:c>
      <x:c r="J177" t="str">
        <x:v>Ninguna</x:v>
      </x:c>
      <x:c r="K177" t="str">
        <x:v>No</x:v>
      </x:c>
      <x:c r="L177" t="str">
        <x:v>Barcelona</x:v>
      </x:c>
      <x:c r="M177" t="n">
        <x:f>IF(AND(B177&gt;=DATE(2026,7,1),B177&lt;=DATE(2026,9,30),G177&gt;=DATE(2026,7,1),G177&lt;=DATE(2026,9,30)),1,0)</x:f>
        <x:v>1</x:v>
      </x:c>
      <x:c r="N177" t="n">
        <x:f>IF(M177=1,IF(G177&lt;=F177,1,0),0)</x:f>
        <x:v>0</x:v>
      </x:c>
      <x:c r="O177" t="n">
        <x:f>IF(AND(M177=1,K177="Sí",G177&gt;F177),1,0)</x:f>
        <x:v>0</x:v>
      </x:c>
      <x:c r="P177" t="n">
        <x:f>IF(AND(M177=1,I177&gt;0),1,0)</x:f>
        <x:v>0</x:v>
      </x:c>
      <x:c r="Q177" t="n">
        <x:f>IF(AND(B177&gt;=DATE(2026,7,1),B177&lt;=DATE(2026,9,30),G177&gt;=DATE(2026,10,1),G177&lt;=DATE(2026,10,7)),1,0)</x:f>
        <x:v>0</x:v>
      </x:c>
      <x:c r="R177" t="n">
        <x:f>IF(AND(B177&gt;=DATE(2026,7,1),B177&lt;=DATE(2026,9,30),G177&gt;DATE(2026,10,7)),1,0)</x:f>
        <x:v>0</x:v>
      </x:c>
      <x:c r="S177" t="n">
        <x:f>IF(AND(M177=1,J177&lt;&gt;"Ninguna"),1,0)</x:f>
        <x:v>0</x:v>
      </x:c>
    </x:row>
    <x:row r="178">
      <x:c r="A178" t="str">
        <x:v>PED-0177</x:v>
      </x:c>
      <x:c r="B178" s="12" t="n">
        <x:v>46292</x:v>
      </x:c>
      <x:c r="C178" t="str">
        <x:v>MecaParts</x:v>
      </x:c>
      <x:c r="D178" t="str">
        <x:v>Componentes mecánicos</x:v>
      </x:c>
      <x:c r="E178" s="10" t="n">
        <x:v>371.55</x:v>
      </x:c>
      <x:c r="F178" s="12" t="n">
        <x:v>46300</x:v>
      </x:c>
      <x:c r="G178" s="12" t="n">
        <x:v>46304</x:v>
      </x:c>
      <x:c r="H178" t="n">
        <x:v>23</x:v>
      </x:c>
      <x:c r="I178" t="n">
        <x:v>0</x:v>
      </x:c>
      <x:c r="J178" t="str">
        <x:v>Ninguna</x:v>
      </x:c>
      <x:c r="K178" t="str">
        <x:v>Sí</x:v>
      </x:c>
      <x:c r="L178" t="str">
        <x:v>Zaragoza</x:v>
      </x:c>
      <x:c r="M178" t="n">
        <x:f>IF(AND(B178&gt;=DATE(2026,7,1),B178&lt;=DATE(2026,9,30),G178&gt;=DATE(2026,7,1),G178&lt;=DATE(2026,9,30)),1,0)</x:f>
        <x:v>0</x:v>
      </x:c>
      <x:c r="N178" t="n">
        <x:f>IF(M178=1,IF(G178&lt;=F178,1,0),0)</x:f>
        <x:v>0</x:v>
      </x:c>
      <x:c r="O178" t="n">
        <x:f>IF(AND(M178=1,K178="Sí",G178&gt;F178),1,0)</x:f>
        <x:v>0</x:v>
      </x:c>
      <x:c r="P178" t="n">
        <x:f>IF(AND(M178=1,I178&gt;0),1,0)</x:f>
        <x:v>0</x:v>
      </x:c>
      <x:c r="Q178" t="n">
        <x:f>IF(AND(B178&gt;=DATE(2026,7,1),B178&lt;=DATE(2026,9,30),G178&gt;=DATE(2026,10,1),G178&lt;=DATE(2026,10,7)),1,0)</x:f>
        <x:v>0</x:v>
      </x:c>
      <x:c r="R178" t="n">
        <x:f>IF(AND(B178&gt;=DATE(2026,7,1),B178&lt;=DATE(2026,9,30),G178&gt;DATE(2026,10,7)),1,0)</x:f>
        <x:v>1</x:v>
      </x:c>
      <x:c r="S178" t="n">
        <x:f>IF(AND(M178=1,J178&lt;&gt;"Ninguna"),1,0)</x:f>
        <x:v>0</x:v>
      </x:c>
    </x:row>
    <x:row r="179">
      <x:c r="A179" t="str">
        <x:v>PED-0178</x:v>
      </x:c>
      <x:c r="B179" s="12" t="n">
        <x:v>46228</x:v>
      </x:c>
      <x:c r="C179" t="str">
        <x:v>MecaParts</x:v>
      </x:c>
      <x:c r="D179" t="str">
        <x:v>Componentes mecánicos</x:v>
      </x:c>
      <x:c r="E179" s="10" t="n">
        <x:v>7196.13</x:v>
      </x:c>
      <x:c r="F179" s="12" t="n">
        <x:v>46236</x:v>
      </x:c>
      <x:c r="G179" s="12" t="n">
        <x:v>46238</x:v>
      </x:c>
      <x:c r="H179" t="n">
        <x:v>174</x:v>
      </x:c>
      <x:c r="I179" t="n">
        <x:v>0</x:v>
      </x:c>
      <x:c r="J179" t="str">
        <x:v>Ninguna</x:v>
      </x:c>
      <x:c r="K179" t="str">
        <x:v>No</x:v>
      </x:c>
      <x:c r="L179" t="str">
        <x:v>Zaragoza</x:v>
      </x:c>
      <x:c r="M179" t="n">
        <x:f>IF(AND(B179&gt;=DATE(2026,7,1),B179&lt;=DATE(2026,9,30),G179&gt;=DATE(2026,7,1),G179&lt;=DATE(2026,9,30)),1,0)</x:f>
        <x:v>1</x:v>
      </x:c>
      <x:c r="N179" t="n">
        <x:f>IF(M179=1,IF(G179&lt;=F179,1,0),0)</x:f>
        <x:v>0</x:v>
      </x:c>
      <x:c r="O179" t="n">
        <x:f>IF(AND(M179=1,K179="Sí",G179&gt;F179),1,0)</x:f>
        <x:v>0</x:v>
      </x:c>
      <x:c r="P179" t="n">
        <x:f>IF(AND(M179=1,I179&gt;0),1,0)</x:f>
        <x:v>0</x:v>
      </x:c>
      <x:c r="Q179" t="n">
        <x:f>IF(AND(B179&gt;=DATE(2026,7,1),B179&lt;=DATE(2026,9,30),G179&gt;=DATE(2026,10,1),G179&lt;=DATE(2026,10,7)),1,0)</x:f>
        <x:v>0</x:v>
      </x:c>
      <x:c r="R179" t="n">
        <x:f>IF(AND(B179&gt;=DATE(2026,7,1),B179&lt;=DATE(2026,9,30),G179&gt;DATE(2026,10,7)),1,0)</x:f>
        <x:v>0</x:v>
      </x:c>
      <x:c r="S179" t="n">
        <x:f>IF(AND(M179=1,J179&lt;&gt;"Ninguna"),1,0)</x:f>
        <x:v>0</x:v>
      </x:c>
    </x:row>
    <x:row r="180">
      <x:c r="A180" t="str">
        <x:v>PED-0179</x:v>
      </x:c>
      <x:c r="B180" s="12" t="n">
        <x:v>46207</x:v>
      </x:c>
      <x:c r="C180" t="str">
        <x:v>MetalNova</x:v>
      </x:c>
      <x:c r="D180" t="str">
        <x:v>Componentes mecánicos</x:v>
      </x:c>
      <x:c r="E180" s="10" t="n">
        <x:v>6773.29</x:v>
      </x:c>
      <x:c r="F180" s="12" t="n">
        <x:v>46216</x:v>
      </x:c>
      <x:c r="G180" s="12" t="n">
        <x:v>46218</x:v>
      </x:c>
      <x:c r="H180" t="n">
        <x:v>198</x:v>
      </x:c>
      <x:c r="I180" t="n">
        <x:v>18</x:v>
      </x:c>
      <x:c r="J180" t="str">
        <x:v>Calidad</x:v>
      </x:c>
      <x:c r="K180" t="str">
        <x:v>No</x:v>
      </x:c>
      <x:c r="L180" t="str">
        <x:v>Valencia</x:v>
      </x:c>
      <x:c r="M180" t="n">
        <x:f>IF(AND(B180&gt;=DATE(2026,7,1),B180&lt;=DATE(2026,9,30),G180&gt;=DATE(2026,7,1),G180&lt;=DATE(2026,9,30)),1,0)</x:f>
        <x:v>1</x:v>
      </x:c>
      <x:c r="N180" t="n">
        <x:f>IF(M180=1,IF(G180&lt;=F180,1,0),0)</x:f>
        <x:v>0</x:v>
      </x:c>
      <x:c r="O180" t="n">
        <x:f>IF(AND(M180=1,K180="Sí",G180&gt;F180),1,0)</x:f>
        <x:v>0</x:v>
      </x:c>
      <x:c r="P180" t="n">
        <x:f>IF(AND(M180=1,I180&gt;0),1,0)</x:f>
        <x:v>1</x:v>
      </x:c>
      <x:c r="Q180" t="n">
        <x:f>IF(AND(B180&gt;=DATE(2026,7,1),B180&lt;=DATE(2026,9,30),G180&gt;=DATE(2026,10,1),G180&lt;=DATE(2026,10,7)),1,0)</x:f>
        <x:v>0</x:v>
      </x:c>
      <x:c r="R180" t="n">
        <x:f>IF(AND(B180&gt;=DATE(2026,7,1),B180&lt;=DATE(2026,9,30),G180&gt;DATE(2026,10,7)),1,0)</x:f>
        <x:v>0</x:v>
      </x:c>
      <x:c r="S180" t="n">
        <x:f>IF(AND(M180=1,J180&lt;&gt;"Ninguna"),1,0)</x:f>
        <x:v>1</x:v>
      </x:c>
    </x:row>
    <x:row r="181">
      <x:c r="A181" t="str">
        <x:v>PED-0180</x:v>
      </x:c>
      <x:c r="B181" s="12" t="n">
        <x:v>46262</x:v>
      </x:c>
      <x:c r="C181" t="str">
        <x:v>ElectraSupply</x:v>
      </x:c>
      <x:c r="D181" t="str">
        <x:v>Componentes eléctricos</x:v>
      </x:c>
      <x:c r="E181" s="10" t="n">
        <x:v>1252.05</x:v>
      </x:c>
      <x:c r="F181" s="12" t="n">
        <x:v>46273</x:v>
      </x:c>
      <x:c r="G181" s="12" t="n">
        <x:v>46279</x:v>
      </x:c>
      <x:c r="H181" t="n">
        <x:v>114</x:v>
      </x:c>
      <x:c r="I181" t="n">
        <x:v>0</x:v>
      </x:c>
      <x:c r="J181" t="str">
        <x:v>Ninguna</x:v>
      </x:c>
      <x:c r="K181" t="str">
        <x:v>Sí</x:v>
      </x:c>
      <x:c r="L181" t="str">
        <x:v>Valencia</x:v>
      </x:c>
      <x:c r="M181" t="n">
        <x:f>IF(AND(B181&gt;=DATE(2026,7,1),B181&lt;=DATE(2026,9,30),G181&gt;=DATE(2026,7,1),G181&lt;=DATE(2026,9,30)),1,0)</x:f>
        <x:v>1</x:v>
      </x:c>
      <x:c r="N181" t="n">
        <x:f>IF(M181=1,IF(G181&lt;=F181,1,0),0)</x:f>
        <x:v>0</x:v>
      </x:c>
      <x:c r="O181" t="n">
        <x:f>IF(AND(M181=1,K181="Sí",G181&gt;F181),1,0)</x:f>
        <x:v>1</x:v>
      </x:c>
      <x:c r="P181" t="n">
        <x:f>IF(AND(M181=1,I181&gt;0),1,0)</x:f>
        <x:v>0</x:v>
      </x:c>
      <x:c r="Q181" t="n">
        <x:f>IF(AND(B181&gt;=DATE(2026,7,1),B181&lt;=DATE(2026,9,30),G181&gt;=DATE(2026,10,1),G181&lt;=DATE(2026,10,7)),1,0)</x:f>
        <x:v>0</x:v>
      </x:c>
      <x:c r="R181" t="n">
        <x:f>IF(AND(B181&gt;=DATE(2026,7,1),B181&lt;=DATE(2026,9,30),G181&gt;DATE(2026,10,7)),1,0)</x:f>
        <x:v>0</x:v>
      </x:c>
      <x:c r="S181" t="n">
        <x:f>IF(AND(M181=1,J181&lt;&gt;"Ninguna"),1,0)</x:f>
        <x:v>0</x:v>
      </x:c>
    </x:row>
    <x:row r="182">
      <x:c r="A182" t="str">
        <x:v>PED-0181</x:v>
      </x:c>
      <x:c r="B182" s="12" t="n">
        <x:v>46242</x:v>
      </x:c>
      <x:c r="C182" t="str">
        <x:v>MecaParts</x:v>
      </x:c>
      <x:c r="D182" t="str">
        <x:v>Componentes mecánicos</x:v>
      </x:c>
      <x:c r="E182" s="10" t="n">
        <x:v>1853.88</x:v>
      </x:c>
      <x:c r="F182" s="12" t="n">
        <x:v>46253</x:v>
      </x:c>
      <x:c r="G182" s="12" t="n">
        <x:v>46251</x:v>
      </x:c>
      <x:c r="H182" t="n">
        <x:v>171</x:v>
      </x:c>
      <x:c r="I182" t="n">
        <x:v>0</x:v>
      </x:c>
      <x:c r="J182" t="str">
        <x:v>Ninguna</x:v>
      </x:c>
      <x:c r="K182" t="str">
        <x:v>No</x:v>
      </x:c>
      <x:c r="L182" t="str">
        <x:v>Valencia</x:v>
      </x:c>
      <x:c r="M182" t="n">
        <x:f>IF(AND(B182&gt;=DATE(2026,7,1),B182&lt;=DATE(2026,9,30),G182&gt;=DATE(2026,7,1),G182&lt;=DATE(2026,9,30)),1,0)</x:f>
        <x:v>1</x:v>
      </x:c>
      <x:c r="N182" t="n">
        <x:f>IF(M182=1,IF(G182&lt;=F182,1,0),0)</x:f>
        <x:v>1</x:v>
      </x:c>
      <x:c r="O182" t="n">
        <x:f>IF(AND(M182=1,K182="Sí",G182&gt;F182),1,0)</x:f>
        <x:v>0</x:v>
      </x:c>
      <x:c r="P182" t="n">
        <x:f>IF(AND(M182=1,I182&gt;0),1,0)</x:f>
        <x:v>0</x:v>
      </x:c>
      <x:c r="Q182" t="n">
        <x:f>IF(AND(B182&gt;=DATE(2026,7,1),B182&lt;=DATE(2026,9,30),G182&gt;=DATE(2026,10,1),G182&lt;=DATE(2026,10,7)),1,0)</x:f>
        <x:v>0</x:v>
      </x:c>
      <x:c r="R182" t="n">
        <x:f>IF(AND(B182&gt;=DATE(2026,7,1),B182&lt;=DATE(2026,9,30),G182&gt;DATE(2026,10,7)),1,0)</x:f>
        <x:v>0</x:v>
      </x:c>
      <x:c r="S182" t="n">
        <x:f>IF(AND(M182=1,J182&lt;&gt;"Ninguna"),1,0)</x:f>
        <x:v>0</x:v>
      </x:c>
    </x:row>
    <x:row r="183">
      <x:c r="A183" t="str">
        <x:v>PED-0182</x:v>
      </x:c>
      <x:c r="B183" s="12" t="n">
        <x:v>46273</x:v>
      </x:c>
      <x:c r="C183" t="str">
        <x:v>OfiPlus</x:v>
      </x:c>
      <x:c r="D183" t="str">
        <x:v>Consumibles</x:v>
      </x:c>
      <x:c r="E183" s="10" t="n">
        <x:v>3004.94</x:v>
      </x:c>
      <x:c r="F183" s="12" t="n">
        <x:v>46278</x:v>
      </x:c>
      <x:c r="G183" s="12" t="n">
        <x:v>46277</x:v>
      </x:c>
      <x:c r="H183" t="n">
        <x:v>66</x:v>
      </x:c>
      <x:c r="I183" t="n">
        <x:v>0</x:v>
      </x:c>
      <x:c r="J183" t="str">
        <x:v>Ninguna</x:v>
      </x:c>
      <x:c r="K183" t="str">
        <x:v>No</x:v>
      </x:c>
      <x:c r="L183" t="str">
        <x:v>Valencia</x:v>
      </x:c>
      <x:c r="M183" t="n">
        <x:f>IF(AND(B183&gt;=DATE(2026,7,1),B183&lt;=DATE(2026,9,30),G183&gt;=DATE(2026,7,1),G183&lt;=DATE(2026,9,30)),1,0)</x:f>
        <x:v>1</x:v>
      </x:c>
      <x:c r="N183" t="n">
        <x:f>IF(M183=1,IF(G183&lt;=F183,1,0),0)</x:f>
        <x:v>1</x:v>
      </x:c>
      <x:c r="O183" t="n">
        <x:f>IF(AND(M183=1,K183="Sí",G183&gt;F183),1,0)</x:f>
        <x:v>0</x:v>
      </x:c>
      <x:c r="P183" t="n">
        <x:f>IF(AND(M183=1,I183&gt;0),1,0)</x:f>
        <x:v>0</x:v>
      </x:c>
      <x:c r="Q183" t="n">
        <x:f>IF(AND(B183&gt;=DATE(2026,7,1),B183&lt;=DATE(2026,9,30),G183&gt;=DATE(2026,10,1),G183&lt;=DATE(2026,10,7)),1,0)</x:f>
        <x:v>0</x:v>
      </x:c>
      <x:c r="R183" t="n">
        <x:f>IF(AND(B183&gt;=DATE(2026,7,1),B183&lt;=DATE(2026,9,30),G183&gt;DATE(2026,10,7)),1,0)</x:f>
        <x:v>0</x:v>
      </x:c>
      <x:c r="S183" t="n">
        <x:f>IF(AND(M183=1,J183&lt;&gt;"Ninguna"),1,0)</x:f>
        <x:v>0</x:v>
      </x:c>
    </x:row>
    <x:row r="184">
      <x:c r="A184" t="str">
        <x:v>PED-0183</x:v>
      </x:c>
      <x:c r="B184" s="12" t="n">
        <x:v>46213</x:v>
      </x:c>
      <x:c r="C184" t="str">
        <x:v>ElectraSupply</x:v>
      </x:c>
      <x:c r="D184" t="str">
        <x:v>Componentes eléctricos</x:v>
      </x:c>
      <x:c r="E184" s="10" t="n">
        <x:v>2988.06</x:v>
      </x:c>
      <x:c r="F184" s="12" t="n">
        <x:v>46226</x:v>
      </x:c>
      <x:c r="G184" s="12" t="n">
        <x:v>46229</x:v>
      </x:c>
      <x:c r="H184" t="n">
        <x:v>96</x:v>
      </x:c>
      <x:c r="I184" t="n">
        <x:v>0</x:v>
      </x:c>
      <x:c r="J184" t="str">
        <x:v>Ninguna</x:v>
      </x:c>
      <x:c r="K184" t="str">
        <x:v>No</x:v>
      </x:c>
      <x:c r="L184" t="str">
        <x:v>Barcelona</x:v>
      </x:c>
      <x:c r="M184" t="n">
        <x:f>IF(AND(B184&gt;=DATE(2026,7,1),B184&lt;=DATE(2026,9,30),G184&gt;=DATE(2026,7,1),G184&lt;=DATE(2026,9,30)),1,0)</x:f>
        <x:v>1</x:v>
      </x:c>
      <x:c r="N184" t="n">
        <x:f>IF(M184=1,IF(G184&lt;=F184,1,0),0)</x:f>
        <x:v>0</x:v>
      </x:c>
      <x:c r="O184" t="n">
        <x:f>IF(AND(M184=1,K184="Sí",G184&gt;F184),1,0)</x:f>
        <x:v>0</x:v>
      </x:c>
      <x:c r="P184" t="n">
        <x:f>IF(AND(M184=1,I184&gt;0),1,0)</x:f>
        <x:v>0</x:v>
      </x:c>
      <x:c r="Q184" t="n">
        <x:f>IF(AND(B184&gt;=DATE(2026,7,1),B184&lt;=DATE(2026,9,30),G184&gt;=DATE(2026,10,1),G184&lt;=DATE(2026,10,7)),1,0)</x:f>
        <x:v>0</x:v>
      </x:c>
      <x:c r="R184" t="n">
        <x:f>IF(AND(B184&gt;=DATE(2026,7,1),B184&lt;=DATE(2026,9,30),G184&gt;DATE(2026,10,7)),1,0)</x:f>
        <x:v>0</x:v>
      </x:c>
      <x:c r="S184" t="n">
        <x:f>IF(AND(M184=1,J184&lt;&gt;"Ninguna"),1,0)</x:f>
        <x:v>0</x:v>
      </x:c>
    </x:row>
    <x:row r="185">
      <x:c r="A185" t="str">
        <x:v>PED-0184</x:v>
      </x:c>
      <x:c r="B185" s="12" t="n">
        <x:v>46284</x:v>
      </x:c>
      <x:c r="C185" t="str">
        <x:v>OfiPlus</x:v>
      </x:c>
      <x:c r="D185" t="str">
        <x:v>Consumibles</x:v>
      </x:c>
      <x:c r="E185" s="10" t="n">
        <x:v>2365.96</x:v>
      </x:c>
      <x:c r="F185" s="12" t="n">
        <x:v>46290</x:v>
      </x:c>
      <x:c r="G185" s="12" t="n">
        <x:v>46289</x:v>
      </x:c>
      <x:c r="H185" t="n">
        <x:v>66</x:v>
      </x:c>
      <x:c r="I185" t="n">
        <x:v>0</x:v>
      </x:c>
      <x:c r="J185" t="str">
        <x:v>Ninguna</x:v>
      </x:c>
      <x:c r="K185" t="str">
        <x:v>No</x:v>
      </x:c>
      <x:c r="L185" t="str">
        <x:v>Zaragoza</x:v>
      </x:c>
      <x:c r="M185" t="n">
        <x:f>IF(AND(B185&gt;=DATE(2026,7,1),B185&lt;=DATE(2026,9,30),G185&gt;=DATE(2026,7,1),G185&lt;=DATE(2026,9,30)),1,0)</x:f>
        <x:v>1</x:v>
      </x:c>
      <x:c r="N185" t="n">
        <x:f>IF(M185=1,IF(G185&lt;=F185,1,0),0)</x:f>
        <x:v>1</x:v>
      </x:c>
      <x:c r="O185" t="n">
        <x:f>IF(AND(M185=1,K185="Sí",G185&gt;F185),1,0)</x:f>
        <x:v>0</x:v>
      </x:c>
      <x:c r="P185" t="n">
        <x:f>IF(AND(M185=1,I185&gt;0),1,0)</x:f>
        <x:v>0</x:v>
      </x:c>
      <x:c r="Q185" t="n">
        <x:f>IF(AND(B185&gt;=DATE(2026,7,1),B185&lt;=DATE(2026,9,30),G185&gt;=DATE(2026,10,1),G185&lt;=DATE(2026,10,7)),1,0)</x:f>
        <x:v>0</x:v>
      </x:c>
      <x:c r="R185" t="n">
        <x:f>IF(AND(B185&gt;=DATE(2026,7,1),B185&lt;=DATE(2026,9,30),G185&gt;DATE(2026,10,7)),1,0)</x:f>
        <x:v>0</x:v>
      </x:c>
      <x:c r="S185" t="n">
        <x:f>IF(AND(M185=1,J185&lt;&gt;"Ninguna"),1,0)</x:f>
        <x:v>0</x:v>
      </x:c>
    </x:row>
    <x:row r="186">
      <x:c r="A186" t="str">
        <x:v>PED-0185</x:v>
      </x:c>
      <x:c r="B186" s="12" t="n">
        <x:v>46260</x:v>
      </x:c>
      <x:c r="C186" t="str">
        <x:v>OfiPlus</x:v>
      </x:c>
      <x:c r="D186" t="str">
        <x:v>Consumibles</x:v>
      </x:c>
      <x:c r="E186" s="10" t="n">
        <x:v>8276.69</x:v>
      </x:c>
      <x:c r="F186" s="12" t="n">
        <x:v>46265</x:v>
      </x:c>
      <x:c r="G186" s="12" t="n">
        <x:v>46263</x:v>
      </x:c>
      <x:c r="H186" t="n">
        <x:v>248</x:v>
      </x:c>
      <x:c r="I186" t="n">
        <x:v>0</x:v>
      </x:c>
      <x:c r="J186" t="str">
        <x:v>Ninguna</x:v>
      </x:c>
      <x:c r="K186" t="str">
        <x:v>Sí</x:v>
      </x:c>
      <x:c r="L186" t="str">
        <x:v>Valencia</x:v>
      </x:c>
      <x:c r="M186" t="n">
        <x:f>IF(AND(B186&gt;=DATE(2026,7,1),B186&lt;=DATE(2026,9,30),G186&gt;=DATE(2026,7,1),G186&lt;=DATE(2026,9,30)),1,0)</x:f>
        <x:v>1</x:v>
      </x:c>
      <x:c r="N186" t="n">
        <x:f>IF(M186=1,IF(G186&lt;=F186,1,0),0)</x:f>
        <x:v>1</x:v>
      </x:c>
      <x:c r="O186" t="n">
        <x:f>IF(AND(M186=1,K186="Sí",G186&gt;F186),1,0)</x:f>
        <x:v>0</x:v>
      </x:c>
      <x:c r="P186" t="n">
        <x:f>IF(AND(M186=1,I186&gt;0),1,0)</x:f>
        <x:v>0</x:v>
      </x:c>
      <x:c r="Q186" t="n">
        <x:f>IF(AND(B186&gt;=DATE(2026,7,1),B186&lt;=DATE(2026,9,30),G186&gt;=DATE(2026,10,1),G186&lt;=DATE(2026,10,7)),1,0)</x:f>
        <x:v>0</x:v>
      </x:c>
      <x:c r="R186" t="n">
        <x:f>IF(AND(B186&gt;=DATE(2026,7,1),B186&lt;=DATE(2026,9,30),G186&gt;DATE(2026,10,7)),1,0)</x:f>
        <x:v>0</x:v>
      </x:c>
      <x:c r="S186" t="n">
        <x:f>IF(AND(M186=1,J186&lt;&gt;"Ninguna"),1,0)</x:f>
        <x:v>0</x:v>
      </x:c>
    </x:row>
    <x:row r="187">
      <x:c r="A187" t="str">
        <x:v>PED-0186</x:v>
      </x:c>
      <x:c r="B187" s="12" t="n">
        <x:v>46287</x:v>
      </x:c>
      <x:c r="C187" t="str">
        <x:v>ElectraSupply</x:v>
      </x:c>
      <x:c r="D187" t="str">
        <x:v>Componentes eléctricos</x:v>
      </x:c>
      <x:c r="E187" s="10" t="n">
        <x:v>116.9</x:v>
      </x:c>
      <x:c r="F187" s="12" t="n">
        <x:v>46299</x:v>
      </x:c>
      <x:c r="G187" s="12" t="n">
        <x:v>46298</x:v>
      </x:c>
      <x:c r="H187" t="n">
        <x:v>23</x:v>
      </x:c>
      <x:c r="I187" t="n">
        <x:v>0</x:v>
      </x:c>
      <x:c r="J187" t="str">
        <x:v>Ninguna</x:v>
      </x:c>
      <x:c r="K187" t="str">
        <x:v>Sí</x:v>
      </x:c>
      <x:c r="L187" t="str">
        <x:v>Zaragoza</x:v>
      </x:c>
      <x:c r="M187" t="n">
        <x:f>IF(AND(B187&gt;=DATE(2026,7,1),B187&lt;=DATE(2026,9,30),G187&gt;=DATE(2026,7,1),G187&lt;=DATE(2026,9,30)),1,0)</x:f>
        <x:v>0</x:v>
      </x:c>
      <x:c r="N187" t="n">
        <x:f>IF(M187=1,IF(G187&lt;=F187,1,0),0)</x:f>
        <x:v>0</x:v>
      </x:c>
      <x:c r="O187" t="n">
        <x:f>IF(AND(M187=1,K187="Sí",G187&gt;F187),1,0)</x:f>
        <x:v>0</x:v>
      </x:c>
      <x:c r="P187" t="n">
        <x:f>IF(AND(M187=1,I187&gt;0),1,0)</x:f>
        <x:v>0</x:v>
      </x:c>
      <x:c r="Q187" t="n">
        <x:f>IF(AND(B187&gt;=DATE(2026,7,1),B187&lt;=DATE(2026,9,30),G187&gt;=DATE(2026,10,1),G187&lt;=DATE(2026,10,7)),1,0)</x:f>
        <x:v>1</x:v>
      </x:c>
      <x:c r="R187" t="n">
        <x:f>IF(AND(B187&gt;=DATE(2026,7,1),B187&lt;=DATE(2026,9,30),G187&gt;DATE(2026,10,7)),1,0)</x:f>
        <x:v>0</x:v>
      </x:c>
      <x:c r="S187" t="n">
        <x:f>IF(AND(M187=1,J187&lt;&gt;"Ninguna"),1,0)</x:f>
        <x:v>0</x:v>
      </x:c>
    </x:row>
    <x:row r="188">
      <x:c r="A188" t="str">
        <x:v>PED-0187</x:v>
      </x:c>
      <x:c r="B188" s="12" t="n">
        <x:v>46284</x:v>
      </x:c>
      <x:c r="C188" t="str">
        <x:v>MetalNova</x:v>
      </x:c>
      <x:c r="D188" t="str">
        <x:v>Componentes mecánicos</x:v>
      </x:c>
      <x:c r="E188" s="10" t="n">
        <x:v>480.83</x:v>
      </x:c>
      <x:c r="F188" s="12" t="n">
        <x:v>46294</x:v>
      </x:c>
      <x:c r="G188" s="12" t="n">
        <x:v>46294</x:v>
      </x:c>
      <x:c r="H188" t="n">
        <x:v>22</x:v>
      </x:c>
      <x:c r="I188" t="n">
        <x:v>0</x:v>
      </x:c>
      <x:c r="J188" t="str">
        <x:v>Ninguna</x:v>
      </x:c>
      <x:c r="K188" t="str">
        <x:v>No</x:v>
      </x:c>
      <x:c r="L188" t="str">
        <x:v>Valencia</x:v>
      </x:c>
      <x:c r="M188" t="n">
        <x:f>IF(AND(B188&gt;=DATE(2026,7,1),B188&lt;=DATE(2026,9,30),G188&gt;=DATE(2026,7,1),G188&lt;=DATE(2026,9,30)),1,0)</x:f>
        <x:v>1</x:v>
      </x:c>
      <x:c r="N188" t="n">
        <x:f>IF(M188=1,IF(G188&lt;=F188,1,0),0)</x:f>
        <x:v>1</x:v>
      </x:c>
      <x:c r="O188" t="n">
        <x:f>IF(AND(M188=1,K188="Sí",G188&gt;F188),1,0)</x:f>
        <x:v>0</x:v>
      </x:c>
      <x:c r="P188" t="n">
        <x:f>IF(AND(M188=1,I188&gt;0),1,0)</x:f>
        <x:v>0</x:v>
      </x:c>
      <x:c r="Q188" t="n">
        <x:f>IF(AND(B188&gt;=DATE(2026,7,1),B188&lt;=DATE(2026,9,30),G188&gt;=DATE(2026,10,1),G188&lt;=DATE(2026,10,7)),1,0)</x:f>
        <x:v>0</x:v>
      </x:c>
      <x:c r="R188" t="n">
        <x:f>IF(AND(B188&gt;=DATE(2026,7,1),B188&lt;=DATE(2026,9,30),G188&gt;DATE(2026,10,7)),1,0)</x:f>
        <x:v>0</x:v>
      </x:c>
      <x:c r="S188" t="n">
        <x:f>IF(AND(M188=1,J188&lt;&gt;"Ninguna"),1,0)</x:f>
        <x:v>0</x:v>
      </x:c>
    </x:row>
    <x:row r="189">
      <x:c r="A189" t="str">
        <x:v>PED-0188</x:v>
      </x:c>
      <x:c r="B189" s="12" t="n">
        <x:v>46285</x:v>
      </x:c>
      <x:c r="C189" t="str">
        <x:v>PackPro</x:v>
      </x:c>
      <x:c r="D189" t="str">
        <x:v>Embalaje</x:v>
      </x:c>
      <x:c r="E189" s="10" t="n">
        <x:v>7609.55</x:v>
      </x:c>
      <x:c r="F189" s="12" t="n">
        <x:v>46292</x:v>
      </x:c>
      <x:c r="G189" s="12" t="n">
        <x:v>46298</x:v>
      </x:c>
      <x:c r="H189" t="n">
        <x:v>301</x:v>
      </x:c>
      <x:c r="I189" t="n">
        <x:v>0</x:v>
      </x:c>
      <x:c r="J189" t="str">
        <x:v>Retraso</x:v>
      </x:c>
      <x:c r="K189" t="str">
        <x:v>No</x:v>
      </x:c>
      <x:c r="L189" t="str">
        <x:v>Zaragoza</x:v>
      </x:c>
      <x:c r="M189" t="n">
        <x:f>IF(AND(B189&gt;=DATE(2026,7,1),B189&lt;=DATE(2026,9,30),G189&gt;=DATE(2026,7,1),G189&lt;=DATE(2026,9,30)),1,0)</x:f>
        <x:v>0</x:v>
      </x:c>
      <x:c r="N189" t="n">
        <x:f>IF(M189=1,IF(G189&lt;=F189,1,0),0)</x:f>
        <x:v>0</x:v>
      </x:c>
      <x:c r="O189" t="n">
        <x:f>IF(AND(M189=1,K189="Sí",G189&gt;F189),1,0)</x:f>
        <x:v>0</x:v>
      </x:c>
      <x:c r="P189" t="n">
        <x:f>IF(AND(M189=1,I189&gt;0),1,0)</x:f>
        <x:v>0</x:v>
      </x:c>
      <x:c r="Q189" t="n">
        <x:f>IF(AND(B189&gt;=DATE(2026,7,1),B189&lt;=DATE(2026,9,30),G189&gt;=DATE(2026,10,1),G189&lt;=DATE(2026,10,7)),1,0)</x:f>
        <x:v>1</x:v>
      </x:c>
      <x:c r="R189" t="n">
        <x:f>IF(AND(B189&gt;=DATE(2026,7,1),B189&lt;=DATE(2026,9,30),G189&gt;DATE(2026,10,7)),1,0)</x:f>
        <x:v>0</x:v>
      </x:c>
      <x:c r="S189" t="n">
        <x:f>IF(AND(M189=1,J189&lt;&gt;"Ninguna"),1,0)</x:f>
        <x:v>0</x:v>
      </x:c>
    </x:row>
    <x:row r="190">
      <x:c r="A190" t="str">
        <x:v>PED-0189</x:v>
      </x:c>
      <x:c r="B190" s="12" t="n">
        <x:v>46217</x:v>
      </x:c>
      <x:c r="C190" t="str">
        <x:v>MecaParts</x:v>
      </x:c>
      <x:c r="D190" t="str">
        <x:v>Componentes mecánicos</x:v>
      </x:c>
      <x:c r="E190" s="10" t="n">
        <x:v>9326.8</x:v>
      </x:c>
      <x:c r="F190" s="12" t="n">
        <x:v>46225</x:v>
      </x:c>
      <x:c r="G190" s="12" t="n">
        <x:v>46226</x:v>
      </x:c>
      <x:c r="H190" t="n">
        <x:v>398</x:v>
      </x:c>
      <x:c r="I190" t="n">
        <x:v>0</x:v>
      </x:c>
      <x:c r="J190" t="str">
        <x:v>Ninguna</x:v>
      </x:c>
      <x:c r="K190" t="str">
        <x:v>No</x:v>
      </x:c>
      <x:c r="L190" t="str">
        <x:v>Valencia</x:v>
      </x:c>
      <x:c r="M190" t="n">
        <x:f>IF(AND(B190&gt;=DATE(2026,7,1),B190&lt;=DATE(2026,9,30),G190&gt;=DATE(2026,7,1),G190&lt;=DATE(2026,9,30)),1,0)</x:f>
        <x:v>1</x:v>
      </x:c>
      <x:c r="N190" t="n">
        <x:f>IF(M190=1,IF(G190&lt;=F190,1,0),0)</x:f>
        <x:v>0</x:v>
      </x:c>
      <x:c r="O190" t="n">
        <x:f>IF(AND(M190=1,K190="Sí",G190&gt;F190),1,0)</x:f>
        <x:v>0</x:v>
      </x:c>
      <x:c r="P190" t="n">
        <x:f>IF(AND(M190=1,I190&gt;0),1,0)</x:f>
        <x:v>0</x:v>
      </x:c>
      <x:c r="Q190" t="n">
        <x:f>IF(AND(B190&gt;=DATE(2026,7,1),B190&lt;=DATE(2026,9,30),G190&gt;=DATE(2026,10,1),G190&lt;=DATE(2026,10,7)),1,0)</x:f>
        <x:v>0</x:v>
      </x:c>
      <x:c r="R190" t="n">
        <x:f>IF(AND(B190&gt;=DATE(2026,7,1),B190&lt;=DATE(2026,9,30),G190&gt;DATE(2026,10,7)),1,0)</x:f>
        <x:v>0</x:v>
      </x:c>
      <x:c r="S190" t="n">
        <x:f>IF(AND(M190=1,J190&lt;&gt;"Ninguna"),1,0)</x:f>
        <x:v>0</x:v>
      </x:c>
    </x:row>
    <x:row r="191">
      <x:c r="A191" t="str">
        <x:v>PED-0190</x:v>
      </x:c>
      <x:c r="B191" s="12" t="n">
        <x:v>46274</x:v>
      </x:c>
      <x:c r="C191" t="str">
        <x:v>ElectraSupply</x:v>
      </x:c>
      <x:c r="D191" t="str">
        <x:v>Componentes eléctricos</x:v>
      </x:c>
      <x:c r="E191" s="10" t="n">
        <x:v>6108.78</x:v>
      </x:c>
      <x:c r="F191" s="12" t="n">
        <x:v>46288</x:v>
      </x:c>
      <x:c r="G191" s="12" t="n">
        <x:v>46293</x:v>
      </x:c>
      <x:c r="H191" t="n">
        <x:v>163</x:v>
      </x:c>
      <x:c r="I191" t="n">
        <x:v>0</x:v>
      </x:c>
      <x:c r="J191" t="str">
        <x:v>Ninguna</x:v>
      </x:c>
      <x:c r="K191" t="str">
        <x:v>No</x:v>
      </x:c>
      <x:c r="L191" t="str">
        <x:v>Valencia</x:v>
      </x:c>
      <x:c r="M191" t="n">
        <x:f>IF(AND(B191&gt;=DATE(2026,7,1),B191&lt;=DATE(2026,9,30),G191&gt;=DATE(2026,7,1),G191&lt;=DATE(2026,9,30)),1,0)</x:f>
        <x:v>1</x:v>
      </x:c>
      <x:c r="N191" t="n">
        <x:f>IF(M191=1,IF(G191&lt;=F191,1,0),0)</x:f>
        <x:v>0</x:v>
      </x:c>
      <x:c r="O191" t="n">
        <x:f>IF(AND(M191=1,K191="Sí",G191&gt;F191),1,0)</x:f>
        <x:v>0</x:v>
      </x:c>
      <x:c r="P191" t="n">
        <x:f>IF(AND(M191=1,I191&gt;0),1,0)</x:f>
        <x:v>0</x:v>
      </x:c>
      <x:c r="Q191" t="n">
        <x:f>IF(AND(B191&gt;=DATE(2026,7,1),B191&lt;=DATE(2026,9,30),G191&gt;=DATE(2026,10,1),G191&lt;=DATE(2026,10,7)),1,0)</x:f>
        <x:v>0</x:v>
      </x:c>
      <x:c r="R191" t="n">
        <x:f>IF(AND(B191&gt;=DATE(2026,7,1),B191&lt;=DATE(2026,9,30),G191&gt;DATE(2026,10,7)),1,0)</x:f>
        <x:v>0</x:v>
      </x:c>
      <x:c r="S191" t="n">
        <x:f>IF(AND(M191=1,J191&lt;&gt;"Ninguna"),1,0)</x:f>
        <x:v>0</x:v>
      </x:c>
    </x:row>
    <x:row r="192">
      <x:c r="A192" t="str">
        <x:v>PED-0191</x:v>
      </x:c>
      <x:c r="B192" s="12" t="n">
        <x:v>46228</x:v>
      </x:c>
      <x:c r="C192" t="str">
        <x:v>MecaParts</x:v>
      </x:c>
      <x:c r="D192" t="str">
        <x:v>Componentes mecánicos</x:v>
      </x:c>
      <x:c r="E192" s="10" t="n">
        <x:v>5217.94</x:v>
      </x:c>
      <x:c r="F192" s="12" t="n">
        <x:v>46236</x:v>
      </x:c>
      <x:c r="G192" s="12" t="n">
        <x:v>46239</x:v>
      </x:c>
      <x:c r="H192" t="n">
        <x:v>184</x:v>
      </x:c>
      <x:c r="I192" t="n">
        <x:v>0</x:v>
      </x:c>
      <x:c r="J192" t="str">
        <x:v>Ninguna</x:v>
      </x:c>
      <x:c r="K192" t="str">
        <x:v>No</x:v>
      </x:c>
      <x:c r="L192" t="str">
        <x:v>Zaragoza</x:v>
      </x:c>
      <x:c r="M192" t="n">
        <x:f>IF(AND(B192&gt;=DATE(2026,7,1),B192&lt;=DATE(2026,9,30),G192&gt;=DATE(2026,7,1),G192&lt;=DATE(2026,9,30)),1,0)</x:f>
        <x:v>1</x:v>
      </x:c>
      <x:c r="N192" t="n">
        <x:f>IF(M192=1,IF(G192&lt;=F192,1,0),0)</x:f>
        <x:v>0</x:v>
      </x:c>
      <x:c r="O192" t="n">
        <x:f>IF(AND(M192=1,K192="Sí",G192&gt;F192),1,0)</x:f>
        <x:v>0</x:v>
      </x:c>
      <x:c r="P192" t="n">
        <x:f>IF(AND(M192=1,I192&gt;0),1,0)</x:f>
        <x:v>0</x:v>
      </x:c>
      <x:c r="Q192" t="n">
        <x:f>IF(AND(B192&gt;=DATE(2026,7,1),B192&lt;=DATE(2026,9,30),G192&gt;=DATE(2026,10,1),G192&lt;=DATE(2026,10,7)),1,0)</x:f>
        <x:v>0</x:v>
      </x:c>
      <x:c r="R192" t="n">
        <x:f>IF(AND(B192&gt;=DATE(2026,7,1),B192&lt;=DATE(2026,9,30),G192&gt;DATE(2026,10,7)),1,0)</x:f>
        <x:v>0</x:v>
      </x:c>
      <x:c r="S192" t="n">
        <x:f>IF(AND(M192=1,J192&lt;&gt;"Ninguna"),1,0)</x:f>
        <x:v>0</x:v>
      </x:c>
    </x:row>
    <x:row r="193">
      <x:c r="A193" t="str">
        <x:v>PED-0192</x:v>
      </x:c>
      <x:c r="B193" s="12" t="n">
        <x:v>46261</x:v>
      </x:c>
      <x:c r="C193" t="str">
        <x:v>MecaParts</x:v>
      </x:c>
      <x:c r="D193" t="str">
        <x:v>Componentes mecánicos</x:v>
      </x:c>
      <x:c r="E193" s="10" t="n">
        <x:v>10450.18</x:v>
      </x:c>
      <x:c r="F193" s="12" t="n">
        <x:v>46270</x:v>
      </x:c>
      <x:c r="G193" s="12" t="n">
        <x:v>46272</x:v>
      </x:c>
      <x:c r="H193" t="n">
        <x:v>287</x:v>
      </x:c>
      <x:c r="I193" t="n">
        <x:v>0</x:v>
      </x:c>
      <x:c r="J193" t="str">
        <x:v>Ninguna</x:v>
      </x:c>
      <x:c r="K193" t="str">
        <x:v>No</x:v>
      </x:c>
      <x:c r="L193" t="str">
        <x:v>Barcelona</x:v>
      </x:c>
      <x:c r="M193" t="n">
        <x:f>IF(AND(B193&gt;=DATE(2026,7,1),B193&lt;=DATE(2026,9,30),G193&gt;=DATE(2026,7,1),G193&lt;=DATE(2026,9,30)),1,0)</x:f>
        <x:v>1</x:v>
      </x:c>
      <x:c r="N193" t="n">
        <x:f>IF(M193=1,IF(G193&lt;=F193,1,0),0)</x:f>
        <x:v>0</x:v>
      </x:c>
      <x:c r="O193" t="n">
        <x:f>IF(AND(M193=1,K193="Sí",G193&gt;F193),1,0)</x:f>
        <x:v>0</x:v>
      </x:c>
      <x:c r="P193" t="n">
        <x:f>IF(AND(M193=1,I193&gt;0),1,0)</x:f>
        <x:v>0</x:v>
      </x:c>
      <x:c r="Q193" t="n">
        <x:f>IF(AND(B193&gt;=DATE(2026,7,1),B193&lt;=DATE(2026,9,30),G193&gt;=DATE(2026,10,1),G193&lt;=DATE(2026,10,7)),1,0)</x:f>
        <x:v>0</x:v>
      </x:c>
      <x:c r="R193" t="n">
        <x:f>IF(AND(B193&gt;=DATE(2026,7,1),B193&lt;=DATE(2026,9,30),G193&gt;DATE(2026,10,7)),1,0)</x:f>
        <x:v>0</x:v>
      </x:c>
      <x:c r="S193" t="n">
        <x:f>IF(AND(M193=1,J193&lt;&gt;"Ninguna"),1,0)</x:f>
        <x:v>0</x:v>
      </x:c>
    </x:row>
    <x:row r="194">
      <x:c r="A194" t="str">
        <x:v>PED-0193</x:v>
      </x:c>
      <x:c r="B194" s="12" t="n">
        <x:v>46295</x:v>
      </x:c>
      <x:c r="C194" t="str">
        <x:v>OfiPlus</x:v>
      </x:c>
      <x:c r="D194" t="str">
        <x:v>Consumibles</x:v>
      </x:c>
      <x:c r="E194" s="10" t="n">
        <x:v>10429.87</x:v>
      </x:c>
      <x:c r="F194" s="12" t="n">
        <x:v>46298</x:v>
      </x:c>
      <x:c r="G194" s="12" t="n">
        <x:v>46296</x:v>
      </x:c>
      <x:c r="H194" t="n">
        <x:v>216</x:v>
      </x:c>
      <x:c r="I194" t="n">
        <x:v>0</x:v>
      </x:c>
      <x:c r="J194" t="str">
        <x:v>Daño transporte</x:v>
      </x:c>
      <x:c r="K194" t="str">
        <x:v>No</x:v>
      </x:c>
      <x:c r="L194" t="str">
        <x:v>Barcelona</x:v>
      </x:c>
      <x:c r="M194" t="n">
        <x:f>IF(AND(B194&gt;=DATE(2026,7,1),B194&lt;=DATE(2026,9,30),G194&gt;=DATE(2026,7,1),G194&lt;=DATE(2026,9,30)),1,0)</x:f>
        <x:v>0</x:v>
      </x:c>
      <x:c r="N194" t="n">
        <x:f>IF(M194=1,IF(G194&lt;=F194,1,0),0)</x:f>
        <x:v>0</x:v>
      </x:c>
      <x:c r="O194" t="n">
        <x:f>IF(AND(M194=1,K194="Sí",G194&gt;F194),1,0)</x:f>
        <x:v>0</x:v>
      </x:c>
      <x:c r="P194" t="n">
        <x:f>IF(AND(M194=1,I194&gt;0),1,0)</x:f>
        <x:v>0</x:v>
      </x:c>
      <x:c r="Q194" t="n">
        <x:f>IF(AND(B194&gt;=DATE(2026,7,1),B194&lt;=DATE(2026,9,30),G194&gt;=DATE(2026,10,1),G194&lt;=DATE(2026,10,7)),1,0)</x:f>
        <x:v>1</x:v>
      </x:c>
      <x:c r="R194" t="n">
        <x:f>IF(AND(B194&gt;=DATE(2026,7,1),B194&lt;=DATE(2026,9,30),G194&gt;DATE(2026,10,7)),1,0)</x:f>
        <x:v>0</x:v>
      </x:c>
      <x:c r="S194" t="n">
        <x:f>IF(AND(M194=1,J194&lt;&gt;"Ninguna"),1,0)</x:f>
        <x:v>0</x:v>
      </x:c>
    </x:row>
    <x:row r="195">
      <x:c r="A195" t="str">
        <x:v>PED-0194</x:v>
      </x:c>
      <x:c r="B195" s="12" t="n">
        <x:v>46221</x:v>
      </x:c>
      <x:c r="C195" t="str">
        <x:v>ElectraSupply</x:v>
      </x:c>
      <x:c r="D195" t="str">
        <x:v>Componentes eléctricos</x:v>
      </x:c>
      <x:c r="E195" s="10" t="n">
        <x:v>4895.54</x:v>
      </x:c>
      <x:c r="F195" s="12" t="n">
        <x:v>46233</x:v>
      </x:c>
      <x:c r="G195" s="12" t="n">
        <x:v>46235</x:v>
      </x:c>
      <x:c r="H195" t="n">
        <x:v>359</x:v>
      </x:c>
      <x:c r="I195" t="n">
        <x:v>0</x:v>
      </x:c>
      <x:c r="J195" t="str">
        <x:v>Ninguna</x:v>
      </x:c>
      <x:c r="K195" t="str">
        <x:v>No</x:v>
      </x:c>
      <x:c r="L195" t="str">
        <x:v>Valencia</x:v>
      </x:c>
      <x:c r="M195" t="n">
        <x:f>IF(AND(B195&gt;=DATE(2026,7,1),B195&lt;=DATE(2026,9,30),G195&gt;=DATE(2026,7,1),G195&lt;=DATE(2026,9,30)),1,0)</x:f>
        <x:v>1</x:v>
      </x:c>
      <x:c r="N195" t="n">
        <x:f>IF(M195=1,IF(G195&lt;=F195,1,0),0)</x:f>
        <x:v>0</x:v>
      </x:c>
      <x:c r="O195" t="n">
        <x:f>IF(AND(M195=1,K195="Sí",G195&gt;F195),1,0)</x:f>
        <x:v>0</x:v>
      </x:c>
      <x:c r="P195" t="n">
        <x:f>IF(AND(M195=1,I195&gt;0),1,0)</x:f>
        <x:v>0</x:v>
      </x:c>
      <x:c r="Q195" t="n">
        <x:f>IF(AND(B195&gt;=DATE(2026,7,1),B195&lt;=DATE(2026,9,30),G195&gt;=DATE(2026,10,1),G195&lt;=DATE(2026,10,7)),1,0)</x:f>
        <x:v>0</x:v>
      </x:c>
      <x:c r="R195" t="n">
        <x:f>IF(AND(B195&gt;=DATE(2026,7,1),B195&lt;=DATE(2026,9,30),G195&gt;DATE(2026,10,7)),1,0)</x:f>
        <x:v>0</x:v>
      </x:c>
      <x:c r="S195" t="n">
        <x:f>IF(AND(M195=1,J195&lt;&gt;"Ninguna"),1,0)</x:f>
        <x:v>0</x:v>
      </x:c>
    </x:row>
    <x:row r="196">
      <x:c r="A196" t="str">
        <x:v>PED-0195</x:v>
      </x:c>
      <x:c r="B196" s="12" t="n">
        <x:v>46205</x:v>
      </x:c>
      <x:c r="C196" t="str">
        <x:v>OfiPlus</x:v>
      </x:c>
      <x:c r="D196" t="str">
        <x:v>Consumibles</x:v>
      </x:c>
      <x:c r="E196" s="10" t="n">
        <x:v>15183.22</x:v>
      </x:c>
      <x:c r="F196" s="12" t="n">
        <x:v>46209</x:v>
      </x:c>
      <x:c r="G196" s="12" t="n">
        <x:v>46208</x:v>
      </x:c>
      <x:c r="H196" t="n">
        <x:v>299</x:v>
      </x:c>
      <x:c r="I196" t="n">
        <x:v>0</x:v>
      </x:c>
      <x:c r="J196" t="str">
        <x:v>Ninguna</x:v>
      </x:c>
      <x:c r="K196" t="str">
        <x:v>No</x:v>
      </x:c>
      <x:c r="L196" t="str">
        <x:v>Valencia</x:v>
      </x:c>
      <x:c r="M196" t="n">
        <x:f>IF(AND(B196&gt;=DATE(2026,7,1),B196&lt;=DATE(2026,9,30),G196&gt;=DATE(2026,7,1),G196&lt;=DATE(2026,9,30)),1,0)</x:f>
        <x:v>1</x:v>
      </x:c>
      <x:c r="N196" t="n">
        <x:f>IF(M196=1,IF(G196&lt;=F196,1,0),0)</x:f>
        <x:v>1</x:v>
      </x:c>
      <x:c r="O196" t="n">
        <x:f>IF(AND(M196=1,K196="Sí",G196&gt;F196),1,0)</x:f>
        <x:v>0</x:v>
      </x:c>
      <x:c r="P196" t="n">
        <x:f>IF(AND(M196=1,I196&gt;0),1,0)</x:f>
        <x:v>0</x:v>
      </x:c>
      <x:c r="Q196" t="n">
        <x:f>IF(AND(B196&gt;=DATE(2026,7,1),B196&lt;=DATE(2026,9,30),G196&gt;=DATE(2026,10,1),G196&lt;=DATE(2026,10,7)),1,0)</x:f>
        <x:v>0</x:v>
      </x:c>
      <x:c r="R196" t="n">
        <x:f>IF(AND(B196&gt;=DATE(2026,7,1),B196&lt;=DATE(2026,9,30),G196&gt;DATE(2026,10,7)),1,0)</x:f>
        <x:v>0</x:v>
      </x:c>
      <x:c r="S196" t="n">
        <x:f>IF(AND(M196=1,J196&lt;&gt;"Ninguna"),1,0)</x:f>
        <x:v>0</x:v>
      </x:c>
    </x:row>
    <x:row r="197">
      <x:c r="A197" t="str">
        <x:v>PED-0196</x:v>
      </x:c>
      <x:c r="B197" s="12" t="n">
        <x:v>46265</x:v>
      </x:c>
      <x:c r="C197" t="str">
        <x:v>MetalNova</x:v>
      </x:c>
      <x:c r="D197" t="str">
        <x:v>Componentes mecánicos</x:v>
      </x:c>
      <x:c r="E197" s="10" t="n">
        <x:v>8810.94</x:v>
      </x:c>
      <x:c r="F197" s="12" t="n">
        <x:v>46275</x:v>
      </x:c>
      <x:c r="G197" s="12" t="n">
        <x:v>46276</x:v>
      </x:c>
      <x:c r="H197" t="n">
        <x:v>229</x:v>
      </x:c>
      <x:c r="I197" t="n">
        <x:v>0</x:v>
      </x:c>
      <x:c r="J197" t="str">
        <x:v>Ninguna</x:v>
      </x:c>
      <x:c r="K197" t="str">
        <x:v>No</x:v>
      </x:c>
      <x:c r="L197" t="str">
        <x:v>Valencia</x:v>
      </x:c>
      <x:c r="M197" t="n">
        <x:f>IF(AND(B197&gt;=DATE(2026,7,1),B197&lt;=DATE(2026,9,30),G197&gt;=DATE(2026,7,1),G197&lt;=DATE(2026,9,30)),1,0)</x:f>
        <x:v>1</x:v>
      </x:c>
      <x:c r="N197" t="n">
        <x:f>IF(M197=1,IF(G197&lt;=F197,1,0),0)</x:f>
        <x:v>0</x:v>
      </x:c>
      <x:c r="O197" t="n">
        <x:f>IF(AND(M197=1,K197="Sí",G197&gt;F197),1,0)</x:f>
        <x:v>0</x:v>
      </x:c>
      <x:c r="P197" t="n">
        <x:f>IF(AND(M197=1,I197&gt;0),1,0)</x:f>
        <x:v>0</x:v>
      </x:c>
      <x:c r="Q197" t="n">
        <x:f>IF(AND(B197&gt;=DATE(2026,7,1),B197&lt;=DATE(2026,9,30),G197&gt;=DATE(2026,10,1),G197&lt;=DATE(2026,10,7)),1,0)</x:f>
        <x:v>0</x:v>
      </x:c>
      <x:c r="R197" t="n">
        <x:f>IF(AND(B197&gt;=DATE(2026,7,1),B197&lt;=DATE(2026,9,30),G197&gt;DATE(2026,10,7)),1,0)</x:f>
        <x:v>0</x:v>
      </x:c>
      <x:c r="S197" t="n">
        <x:f>IF(AND(M197=1,J197&lt;&gt;"Ninguna"),1,0)</x:f>
        <x:v>0</x:v>
      </x:c>
    </x:row>
    <x:row r="198">
      <x:c r="A198" t="str">
        <x:v>PED-0197</x:v>
      </x:c>
      <x:c r="B198" s="12" t="n">
        <x:v>46232</x:v>
      </x:c>
      <x:c r="C198" t="str">
        <x:v>MetalNova</x:v>
      </x:c>
      <x:c r="D198" t="str">
        <x:v>Componentes mecánicos</x:v>
      </x:c>
      <x:c r="E198" s="10" t="n">
        <x:v>3614.12</x:v>
      </x:c>
      <x:c r="F198" s="12" t="n">
        <x:v>46243</x:v>
      </x:c>
      <x:c r="G198" s="12" t="n">
        <x:v>46242</x:v>
      </x:c>
      <x:c r="H198" t="n">
        <x:v>124</x:v>
      </x:c>
      <x:c r="I198" t="n">
        <x:v>0</x:v>
      </x:c>
      <x:c r="J198" t="str">
        <x:v>Ninguna</x:v>
      </x:c>
      <x:c r="K198" t="str">
        <x:v>No</x:v>
      </x:c>
      <x:c r="L198" t="str">
        <x:v>Barcelona</x:v>
      </x:c>
      <x:c r="M198" t="n">
        <x:f>IF(AND(B198&gt;=DATE(2026,7,1),B198&lt;=DATE(2026,9,30),G198&gt;=DATE(2026,7,1),G198&lt;=DATE(2026,9,30)),1,0)</x:f>
        <x:v>1</x:v>
      </x:c>
      <x:c r="N198" t="n">
        <x:f>IF(M198=1,IF(G198&lt;=F198,1,0),0)</x:f>
        <x:v>1</x:v>
      </x:c>
      <x:c r="O198" t="n">
        <x:f>IF(AND(M198=1,K198="Sí",G198&gt;F198),1,0)</x:f>
        <x:v>0</x:v>
      </x:c>
      <x:c r="P198" t="n">
        <x:f>IF(AND(M198=1,I198&gt;0),1,0)</x:f>
        <x:v>0</x:v>
      </x:c>
      <x:c r="Q198" t="n">
        <x:f>IF(AND(B198&gt;=DATE(2026,7,1),B198&lt;=DATE(2026,9,30),G198&gt;=DATE(2026,10,1),G198&lt;=DATE(2026,10,7)),1,0)</x:f>
        <x:v>0</x:v>
      </x:c>
      <x:c r="R198" t="n">
        <x:f>IF(AND(B198&gt;=DATE(2026,7,1),B198&lt;=DATE(2026,9,30),G198&gt;DATE(2026,10,7)),1,0)</x:f>
        <x:v>0</x:v>
      </x:c>
      <x:c r="S198" t="n">
        <x:f>IF(AND(M198=1,J198&lt;&gt;"Ninguna"),1,0)</x:f>
        <x:v>0</x:v>
      </x:c>
    </x:row>
    <x:row r="199">
      <x:c r="A199" t="str">
        <x:v>PED-0198</x:v>
      </x:c>
      <x:c r="B199" s="12" t="n">
        <x:v>46257</x:v>
      </x:c>
      <x:c r="C199" t="str">
        <x:v>MecaParts</x:v>
      </x:c>
      <x:c r="D199" t="str">
        <x:v>Componentes mecánicos</x:v>
      </x:c>
      <x:c r="E199" s="10" t="n">
        <x:v>11785.99</x:v>
      </x:c>
      <x:c r="F199" s="12" t="n">
        <x:v>46267</x:v>
      </x:c>
      <x:c r="G199" s="12" t="n">
        <x:v>46270</x:v>
      </x:c>
      <x:c r="H199" t="n">
        <x:v>268</x:v>
      </x:c>
      <x:c r="I199" t="n">
        <x:v>0</x:v>
      </x:c>
      <x:c r="J199" t="str">
        <x:v>Ninguna</x:v>
      </x:c>
      <x:c r="K199" t="str">
        <x:v>Sí</x:v>
      </x:c>
      <x:c r="L199" t="str">
        <x:v>Barcelona</x:v>
      </x:c>
      <x:c r="M199" t="n">
        <x:f>IF(AND(B199&gt;=DATE(2026,7,1),B199&lt;=DATE(2026,9,30),G199&gt;=DATE(2026,7,1),G199&lt;=DATE(2026,9,30)),1,0)</x:f>
        <x:v>1</x:v>
      </x:c>
      <x:c r="N199" t="n">
        <x:f>IF(M199=1,IF(G199&lt;=F199,1,0),0)</x:f>
        <x:v>0</x:v>
      </x:c>
      <x:c r="O199" t="n">
        <x:f>IF(AND(M199=1,K199="Sí",G199&gt;F199),1,0)</x:f>
        <x:v>1</x:v>
      </x:c>
      <x:c r="P199" t="n">
        <x:f>IF(AND(M199=1,I199&gt;0),1,0)</x:f>
        <x:v>0</x:v>
      </x:c>
      <x:c r="Q199" t="n">
        <x:f>IF(AND(B199&gt;=DATE(2026,7,1),B199&lt;=DATE(2026,9,30),G199&gt;=DATE(2026,10,1),G199&lt;=DATE(2026,10,7)),1,0)</x:f>
        <x:v>0</x:v>
      </x:c>
      <x:c r="R199" t="n">
        <x:f>IF(AND(B199&gt;=DATE(2026,7,1),B199&lt;=DATE(2026,9,30),G199&gt;DATE(2026,10,7)),1,0)</x:f>
        <x:v>0</x:v>
      </x:c>
      <x:c r="S199" t="n">
        <x:f>IF(AND(M199=1,J199&lt;&gt;"Ninguna"),1,0)</x:f>
        <x:v>0</x:v>
      </x:c>
    </x:row>
    <x:row r="200">
      <x:c r="A200" t="str">
        <x:v>PED-0199</x:v>
      </x:c>
      <x:c r="B200" s="12" t="n">
        <x:v>46260</x:v>
      </x:c>
      <x:c r="C200" t="str">
        <x:v>PackPro</x:v>
      </x:c>
      <x:c r="D200" t="str">
        <x:v>Embalaje</x:v>
      </x:c>
      <x:c r="E200" s="10" t="n">
        <x:v>4608.53</x:v>
      </x:c>
      <x:c r="F200" s="12" t="n">
        <x:v>46266</x:v>
      </x:c>
      <x:c r="G200" s="12" t="n">
        <x:v>46272</x:v>
      </x:c>
      <x:c r="H200" t="n">
        <x:v>186</x:v>
      </x:c>
      <x:c r="I200" t="n">
        <x:v>0</x:v>
      </x:c>
      <x:c r="J200" t="str">
        <x:v>Ninguna</x:v>
      </x:c>
      <x:c r="K200" t="str">
        <x:v>No</x:v>
      </x:c>
      <x:c r="L200" t="str">
        <x:v>Valencia</x:v>
      </x:c>
      <x:c r="M200" t="n">
        <x:f>IF(AND(B200&gt;=DATE(2026,7,1),B200&lt;=DATE(2026,9,30),G200&gt;=DATE(2026,7,1),G200&lt;=DATE(2026,9,30)),1,0)</x:f>
        <x:v>1</x:v>
      </x:c>
      <x:c r="N200" t="n">
        <x:f>IF(M200=1,IF(G200&lt;=F200,1,0),0)</x:f>
        <x:v>0</x:v>
      </x:c>
      <x:c r="O200" t="n">
        <x:f>IF(AND(M200=1,K200="Sí",G200&gt;F200),1,0)</x:f>
        <x:v>0</x:v>
      </x:c>
      <x:c r="P200" t="n">
        <x:f>IF(AND(M200=1,I200&gt;0),1,0)</x:f>
        <x:v>0</x:v>
      </x:c>
      <x:c r="Q200" t="n">
        <x:f>IF(AND(B200&gt;=DATE(2026,7,1),B200&lt;=DATE(2026,9,30),G200&gt;=DATE(2026,10,1),G200&lt;=DATE(2026,10,7)),1,0)</x:f>
        <x:v>0</x:v>
      </x:c>
      <x:c r="R200" t="n">
        <x:f>IF(AND(B200&gt;=DATE(2026,7,1),B200&lt;=DATE(2026,9,30),G200&gt;DATE(2026,10,7)),1,0)</x:f>
        <x:v>0</x:v>
      </x:c>
      <x:c r="S200" t="n">
        <x:f>IF(AND(M200=1,J200&lt;&gt;"Ninguna"),1,0)</x:f>
        <x:v>0</x:v>
      </x:c>
    </x:row>
    <x:row r="201">
      <x:c r="A201" t="str">
        <x:v>PED-0200</x:v>
      </x:c>
      <x:c r="B201" s="12" t="n">
        <x:v>46243</x:v>
      </x:c>
      <x:c r="C201" t="str">
        <x:v>MecaParts</x:v>
      </x:c>
      <x:c r="D201" t="str">
        <x:v>Componentes mecánicos</x:v>
      </x:c>
      <x:c r="E201" s="10" t="n">
        <x:v>11627.52</x:v>
      </x:c>
      <x:c r="F201" s="12" t="n">
        <x:v>46252</x:v>
      </x:c>
      <x:c r="G201" s="12" t="n">
        <x:v>46255</x:v>
      </x:c>
      <x:c r="H201" t="n">
        <x:v>338</x:v>
      </x:c>
      <x:c r="I201" t="n">
        <x:v>0</x:v>
      </x:c>
      <x:c r="J201" t="str">
        <x:v>Ninguna</x:v>
      </x:c>
      <x:c r="K201" t="str">
        <x:v>No</x:v>
      </x:c>
      <x:c r="L201" t="str">
        <x:v>Barcelona</x:v>
      </x:c>
      <x:c r="M201" t="n">
        <x:f>IF(AND(B201&gt;=DATE(2026,7,1),B201&lt;=DATE(2026,9,30),G201&gt;=DATE(2026,7,1),G201&lt;=DATE(2026,9,30)),1,0)</x:f>
        <x:v>1</x:v>
      </x:c>
      <x:c r="N201" t="n">
        <x:f>IF(M201=1,IF(G201&lt;=F201,1,0),0)</x:f>
        <x:v>0</x:v>
      </x:c>
      <x:c r="O201" t="n">
        <x:f>IF(AND(M201=1,K201="Sí",G201&gt;F201),1,0)</x:f>
        <x:v>0</x:v>
      </x:c>
      <x:c r="P201" t="n">
        <x:f>IF(AND(M201=1,I201&gt;0),1,0)</x:f>
        <x:v>0</x:v>
      </x:c>
      <x:c r="Q201" t="n">
        <x:f>IF(AND(B201&gt;=DATE(2026,7,1),B201&lt;=DATE(2026,9,30),G201&gt;=DATE(2026,10,1),G201&lt;=DATE(2026,10,7)),1,0)</x:f>
        <x:v>0</x:v>
      </x:c>
      <x:c r="R201" t="n">
        <x:f>IF(AND(B201&gt;=DATE(2026,7,1),B201&lt;=DATE(2026,9,30),G201&gt;DATE(2026,10,7)),1,0)</x:f>
        <x:v>0</x:v>
      </x:c>
      <x:c r="S201" t="n">
        <x:f>IF(AND(M201=1,J201&lt;&gt;"Ninguna"),1,0)</x:f>
        <x:v>0</x:v>
      </x:c>
    </x:row>
    <x:row r="202">
      <x:c r="A202" t="str">
        <x:v>PED-0201</x:v>
      </x:c>
      <x:c r="B202" s="12" t="n">
        <x:v>46291</x:v>
      </x:c>
      <x:c r="C202" t="str">
        <x:v>MecaParts</x:v>
      </x:c>
      <x:c r="D202" t="str">
        <x:v>Componentes mecánicos</x:v>
      </x:c>
      <x:c r="E202" s="10" t="n">
        <x:v>10364.64</x:v>
      </x:c>
      <x:c r="F202" s="12" t="n">
        <x:v>46301</x:v>
      </x:c>
      <x:c r="G202" s="12" t="n">
        <x:v>46305</x:v>
      </x:c>
      <x:c r="H202" t="n">
        <x:v>318</x:v>
      </x:c>
      <x:c r="I202" t="n">
        <x:v>38</x:v>
      </x:c>
      <x:c r="J202" t="str">
        <x:v>Calidad</x:v>
      </x:c>
      <x:c r="K202" t="str">
        <x:v>No</x:v>
      </x:c>
      <x:c r="L202" t="str">
        <x:v>Valencia</x:v>
      </x:c>
      <x:c r="M202" t="n">
        <x:f>IF(AND(B202&gt;=DATE(2026,7,1),B202&lt;=DATE(2026,9,30),G202&gt;=DATE(2026,7,1),G202&lt;=DATE(2026,9,30)),1,0)</x:f>
        <x:v>0</x:v>
      </x:c>
      <x:c r="N202" t="n">
        <x:f>IF(M202=1,IF(G202&lt;=F202,1,0),0)</x:f>
        <x:v>0</x:v>
      </x:c>
      <x:c r="O202" t="n">
        <x:f>IF(AND(M202=1,K202="Sí",G202&gt;F202),1,0)</x:f>
        <x:v>0</x:v>
      </x:c>
      <x:c r="P202" t="n">
        <x:f>IF(AND(M202=1,I202&gt;0),1,0)</x:f>
        <x:v>0</x:v>
      </x:c>
      <x:c r="Q202" t="n">
        <x:f>IF(AND(B202&gt;=DATE(2026,7,1),B202&lt;=DATE(2026,9,30),G202&gt;=DATE(2026,10,1),G202&lt;=DATE(2026,10,7)),1,0)</x:f>
        <x:v>0</x:v>
      </x:c>
      <x:c r="R202" t="n">
        <x:f>IF(AND(B202&gt;=DATE(2026,7,1),B202&lt;=DATE(2026,9,30),G202&gt;DATE(2026,10,7)),1,0)</x:f>
        <x:v>1</x:v>
      </x:c>
      <x:c r="S202" t="n">
        <x:f>IF(AND(M202=1,J202&lt;&gt;"Ninguna"),1,0)</x:f>
        <x:v>0</x:v>
      </x:c>
    </x:row>
    <x:row r="203">
      <x:c r="A203" t="str">
        <x:v>PED-0202</x:v>
      </x:c>
      <x:c r="B203" s="12" t="n">
        <x:v>46229</x:v>
      </x:c>
      <x:c r="C203" t="str">
        <x:v>MetalNova</x:v>
      </x:c>
      <x:c r="D203" t="str">
        <x:v>Componentes mecánicos</x:v>
      </x:c>
      <x:c r="E203" s="10" t="n">
        <x:v>9354.44</x:v>
      </x:c>
      <x:c r="F203" s="12" t="n">
        <x:v>46239</x:v>
      </x:c>
      <x:c r="G203" s="12" t="n">
        <x:v>46240</x:v>
      </x:c>
      <x:c r="H203" t="n">
        <x:v>316</x:v>
      </x:c>
      <x:c r="I203" t="n">
        <x:v>0</x:v>
      </x:c>
      <x:c r="J203" t="str">
        <x:v>Ninguna</x:v>
      </x:c>
      <x:c r="K203" t="str">
        <x:v>No</x:v>
      </x:c>
      <x:c r="L203" t="str">
        <x:v>Zaragoza</x:v>
      </x:c>
      <x:c r="M203" t="n">
        <x:f>IF(AND(B203&gt;=DATE(2026,7,1),B203&lt;=DATE(2026,9,30),G203&gt;=DATE(2026,7,1),G203&lt;=DATE(2026,9,30)),1,0)</x:f>
        <x:v>1</x:v>
      </x:c>
      <x:c r="N203" t="n">
        <x:f>IF(M203=1,IF(G203&lt;=F203,1,0),0)</x:f>
        <x:v>0</x:v>
      </x:c>
      <x:c r="O203" t="n">
        <x:f>IF(AND(M203=1,K203="Sí",G203&gt;F203),1,0)</x:f>
        <x:v>0</x:v>
      </x:c>
      <x:c r="P203" t="n">
        <x:f>IF(AND(M203=1,I203&gt;0),1,0)</x:f>
        <x:v>0</x:v>
      </x:c>
      <x:c r="Q203" t="n">
        <x:f>IF(AND(B203&gt;=DATE(2026,7,1),B203&lt;=DATE(2026,9,30),G203&gt;=DATE(2026,10,1),G203&lt;=DATE(2026,10,7)),1,0)</x:f>
        <x:v>0</x:v>
      </x:c>
      <x:c r="R203" t="n">
        <x:f>IF(AND(B203&gt;=DATE(2026,7,1),B203&lt;=DATE(2026,9,30),G203&gt;DATE(2026,10,7)),1,0)</x:f>
        <x:v>0</x:v>
      </x:c>
      <x:c r="S203" t="n">
        <x:f>IF(AND(M203=1,J203&lt;&gt;"Ninguna"),1,0)</x:f>
        <x:v>0</x:v>
      </x:c>
    </x:row>
    <x:row r="204">
      <x:c r="A204" t="str">
        <x:v>PED-0203</x:v>
      </x:c>
      <x:c r="B204" s="12" t="n">
        <x:v>46292</x:v>
      </x:c>
      <x:c r="C204" t="str">
        <x:v>PackPro</x:v>
      </x:c>
      <x:c r="D204" t="str">
        <x:v>Embalaje</x:v>
      </x:c>
      <x:c r="E204" s="10" t="n">
        <x:v>8959.47</x:v>
      </x:c>
      <x:c r="F204" s="12" t="n">
        <x:v>46299</x:v>
      </x:c>
      <x:c r="G204" s="12" t="n">
        <x:v>46298</x:v>
      </x:c>
      <x:c r="H204" t="n">
        <x:v>342</x:v>
      </x:c>
      <x:c r="I204" t="n">
        <x:v>0</x:v>
      </x:c>
      <x:c r="J204" t="str">
        <x:v>Ninguna</x:v>
      </x:c>
      <x:c r="K204" t="str">
        <x:v>No</x:v>
      </x:c>
      <x:c r="L204" t="str">
        <x:v>Valencia</x:v>
      </x:c>
      <x:c r="M204" t="n">
        <x:f>IF(AND(B204&gt;=DATE(2026,7,1),B204&lt;=DATE(2026,9,30),G204&gt;=DATE(2026,7,1),G204&lt;=DATE(2026,9,30)),1,0)</x:f>
        <x:v>0</x:v>
      </x:c>
      <x:c r="N204" t="n">
        <x:f>IF(M204=1,IF(G204&lt;=F204,1,0),0)</x:f>
        <x:v>0</x:v>
      </x:c>
      <x:c r="O204" t="n">
        <x:f>IF(AND(M204=1,K204="Sí",G204&gt;F204),1,0)</x:f>
        <x:v>0</x:v>
      </x:c>
      <x:c r="P204" t="n">
        <x:f>IF(AND(M204=1,I204&gt;0),1,0)</x:f>
        <x:v>0</x:v>
      </x:c>
      <x:c r="Q204" t="n">
        <x:f>IF(AND(B204&gt;=DATE(2026,7,1),B204&lt;=DATE(2026,9,30),G204&gt;=DATE(2026,10,1),G204&lt;=DATE(2026,10,7)),1,0)</x:f>
        <x:v>1</x:v>
      </x:c>
      <x:c r="R204" t="n">
        <x:f>IF(AND(B204&gt;=DATE(2026,7,1),B204&lt;=DATE(2026,9,30),G204&gt;DATE(2026,10,7)),1,0)</x:f>
        <x:v>0</x:v>
      </x:c>
      <x:c r="S204" t="n">
        <x:f>IF(AND(M204=1,J204&lt;&gt;"Ninguna"),1,0)</x:f>
        <x:v>0</x:v>
      </x:c>
    </x:row>
    <x:row r="205">
      <x:c r="A205" t="str">
        <x:v>PED-0204</x:v>
      </x:c>
      <x:c r="B205" s="12" t="n">
        <x:v>46235</x:v>
      </x:c>
      <x:c r="C205" t="str">
        <x:v>PackPro</x:v>
      </x:c>
      <x:c r="D205" t="str">
        <x:v>Embalaje</x:v>
      </x:c>
      <x:c r="E205" s="10" t="n">
        <x:v>1751.97</x:v>
      </x:c>
      <x:c r="F205" s="12" t="n">
        <x:v>46241</x:v>
      </x:c>
      <x:c r="G205" s="12" t="n">
        <x:v>46243</x:v>
      </x:c>
      <x:c r="H205" t="n">
        <x:v>72</x:v>
      </x:c>
      <x:c r="I205" t="n">
        <x:v>0</x:v>
      </x:c>
      <x:c r="J205" t="str">
        <x:v>Ninguna</x:v>
      </x:c>
      <x:c r="K205" t="str">
        <x:v>No</x:v>
      </x:c>
      <x:c r="L205" t="str">
        <x:v>Valencia</x:v>
      </x:c>
      <x:c r="M205" t="n">
        <x:f>IF(AND(B205&gt;=DATE(2026,7,1),B205&lt;=DATE(2026,9,30),G205&gt;=DATE(2026,7,1),G205&lt;=DATE(2026,9,30)),1,0)</x:f>
        <x:v>1</x:v>
      </x:c>
      <x:c r="N205" t="n">
        <x:f>IF(M205=1,IF(G205&lt;=F205,1,0),0)</x:f>
        <x:v>0</x:v>
      </x:c>
      <x:c r="O205" t="n">
        <x:f>IF(AND(M205=1,K205="Sí",G205&gt;F205),1,0)</x:f>
        <x:v>0</x:v>
      </x:c>
      <x:c r="P205" t="n">
        <x:f>IF(AND(M205=1,I205&gt;0),1,0)</x:f>
        <x:v>0</x:v>
      </x:c>
      <x:c r="Q205" t="n">
        <x:f>IF(AND(B205&gt;=DATE(2026,7,1),B205&lt;=DATE(2026,9,30),G205&gt;=DATE(2026,10,1),G205&lt;=DATE(2026,10,7)),1,0)</x:f>
        <x:v>0</x:v>
      </x:c>
      <x:c r="R205" t="n">
        <x:f>IF(AND(B205&gt;=DATE(2026,7,1),B205&lt;=DATE(2026,9,30),G205&gt;DATE(2026,10,7)),1,0)</x:f>
        <x:v>0</x:v>
      </x:c>
      <x:c r="S205" t="n">
        <x:f>IF(AND(M205=1,J205&lt;&gt;"Ninguna"),1,0)</x:f>
        <x:v>0</x:v>
      </x:c>
    </x:row>
    <x:row r="206">
      <x:c r="A206" t="str">
        <x:v>PED-0205</x:v>
      </x:c>
      <x:c r="B206" s="12" t="n">
        <x:v>46220</x:v>
      </x:c>
      <x:c r="C206" t="str">
        <x:v>MetalNova</x:v>
      </x:c>
      <x:c r="D206" t="str">
        <x:v>Materia prima</x:v>
      </x:c>
      <x:c r="E206" s="10" t="n">
        <x:v>1647.58</x:v>
      </x:c>
      <x:c r="F206" s="12" t="n">
        <x:v>46230</x:v>
      </x:c>
      <x:c r="G206" s="12" t="n">
        <x:v>46228</x:v>
      </x:c>
      <x:c r="H206" t="n">
        <x:v>62</x:v>
      </x:c>
      <x:c r="I206" t="n">
        <x:v>0</x:v>
      </x:c>
      <x:c r="J206" t="str">
        <x:v>Ninguna</x:v>
      </x:c>
      <x:c r="K206" t="str">
        <x:v>No</x:v>
      </x:c>
      <x:c r="L206" t="str">
        <x:v>Barcelona</x:v>
      </x:c>
      <x:c r="M206" t="n">
        <x:f>IF(AND(B206&gt;=DATE(2026,7,1),B206&lt;=DATE(2026,9,30),G206&gt;=DATE(2026,7,1),G206&lt;=DATE(2026,9,30)),1,0)</x:f>
        <x:v>1</x:v>
      </x:c>
      <x:c r="N206" t="n">
        <x:f>IF(M206=1,IF(G206&lt;=F206,1,0),0)</x:f>
        <x:v>1</x:v>
      </x:c>
      <x:c r="O206" t="n">
        <x:f>IF(AND(M206=1,K206="Sí",G206&gt;F206),1,0)</x:f>
        <x:v>0</x:v>
      </x:c>
      <x:c r="P206" t="n">
        <x:f>IF(AND(M206=1,I206&gt;0),1,0)</x:f>
        <x:v>0</x:v>
      </x:c>
      <x:c r="Q206" t="n">
        <x:f>IF(AND(B206&gt;=DATE(2026,7,1),B206&lt;=DATE(2026,9,30),G206&gt;=DATE(2026,10,1),G206&lt;=DATE(2026,10,7)),1,0)</x:f>
        <x:v>0</x:v>
      </x:c>
      <x:c r="R206" t="n">
        <x:f>IF(AND(B206&gt;=DATE(2026,7,1),B206&lt;=DATE(2026,9,30),G206&gt;DATE(2026,10,7)),1,0)</x:f>
        <x:v>0</x:v>
      </x:c>
      <x:c r="S206" t="n">
        <x:f>IF(AND(M206=1,J206&lt;&gt;"Ninguna"),1,0)</x:f>
        <x:v>0</x:v>
      </x:c>
    </x:row>
    <x:row r="207">
      <x:c r="A207" t="str">
        <x:v>PED-0206</x:v>
      </x:c>
      <x:c r="B207" s="12" t="n">
        <x:v>46218</x:v>
      </x:c>
      <x:c r="C207" t="str">
        <x:v>OfiPlus</x:v>
      </x:c>
      <x:c r="D207" t="str">
        <x:v>Consumibles</x:v>
      </x:c>
      <x:c r="E207" s="10" t="n">
        <x:v>8935.53</x:v>
      </x:c>
      <x:c r="F207" s="12" t="n">
        <x:v>46221</x:v>
      </x:c>
      <x:c r="G207" s="12" t="n">
        <x:v>46221</x:v>
      </x:c>
      <x:c r="H207" t="n">
        <x:v>296</x:v>
      </x:c>
      <x:c r="I207" t="n">
        <x:v>0</x:v>
      </x:c>
      <x:c r="J207" t="str">
        <x:v>Ninguna</x:v>
      </x:c>
      <x:c r="K207" t="str">
        <x:v>No</x:v>
      </x:c>
      <x:c r="L207" t="str">
        <x:v>Valencia</x:v>
      </x:c>
      <x:c r="M207" t="n">
        <x:f>IF(AND(B207&gt;=DATE(2026,7,1),B207&lt;=DATE(2026,9,30),G207&gt;=DATE(2026,7,1),G207&lt;=DATE(2026,9,30)),1,0)</x:f>
        <x:v>1</x:v>
      </x:c>
      <x:c r="N207" t="n">
        <x:f>IF(M207=1,IF(G207&lt;=F207,1,0),0)</x:f>
        <x:v>1</x:v>
      </x:c>
      <x:c r="O207" t="n">
        <x:f>IF(AND(M207=1,K207="Sí",G207&gt;F207),1,0)</x:f>
        <x:v>0</x:v>
      </x:c>
      <x:c r="P207" t="n">
        <x:f>IF(AND(M207=1,I207&gt;0),1,0)</x:f>
        <x:v>0</x:v>
      </x:c>
      <x:c r="Q207" t="n">
        <x:f>IF(AND(B207&gt;=DATE(2026,7,1),B207&lt;=DATE(2026,9,30),G207&gt;=DATE(2026,10,1),G207&lt;=DATE(2026,10,7)),1,0)</x:f>
        <x:v>0</x:v>
      </x:c>
      <x:c r="R207" t="n">
        <x:f>IF(AND(B207&gt;=DATE(2026,7,1),B207&lt;=DATE(2026,9,30),G207&gt;DATE(2026,10,7)),1,0)</x:f>
        <x:v>0</x:v>
      </x:c>
      <x:c r="S207" t="n">
        <x:f>IF(AND(M207=1,J207&lt;&gt;"Ninguna"),1,0)</x:f>
        <x:v>0</x:v>
      </x:c>
    </x:row>
    <x:row r="208">
      <x:c r="A208" t="str">
        <x:v>PED-0207</x:v>
      </x:c>
      <x:c r="B208" s="12" t="n">
        <x:v>46284</x:v>
      </x:c>
      <x:c r="C208" t="str">
        <x:v>PackPro</x:v>
      </x:c>
      <x:c r="D208" t="str">
        <x:v>Embalaje</x:v>
      </x:c>
      <x:c r="E208" s="10" t="n">
        <x:v>6573.31</x:v>
      </x:c>
      <x:c r="F208" s="12" t="n">
        <x:v>46289</x:v>
      </x:c>
      <x:c r="G208" s="12" t="n">
        <x:v>46288</x:v>
      </x:c>
      <x:c r="H208" t="n">
        <x:v>144</x:v>
      </x:c>
      <x:c r="I208" t="n">
        <x:v>0</x:v>
      </x:c>
      <x:c r="J208" t="str">
        <x:v>Ninguna</x:v>
      </x:c>
      <x:c r="K208" t="str">
        <x:v>No</x:v>
      </x:c>
      <x:c r="L208" t="str">
        <x:v>Barcelona</x:v>
      </x:c>
      <x:c r="M208" t="n">
        <x:f>IF(AND(B208&gt;=DATE(2026,7,1),B208&lt;=DATE(2026,9,30),G208&gt;=DATE(2026,7,1),G208&lt;=DATE(2026,9,30)),1,0)</x:f>
        <x:v>1</x:v>
      </x:c>
      <x:c r="N208" t="n">
        <x:f>IF(M208=1,IF(G208&lt;=F208,1,0),0)</x:f>
        <x:v>1</x:v>
      </x:c>
      <x:c r="O208" t="n">
        <x:f>IF(AND(M208=1,K208="Sí",G208&gt;F208),1,0)</x:f>
        <x:v>0</x:v>
      </x:c>
      <x:c r="P208" t="n">
        <x:f>IF(AND(M208=1,I208&gt;0),1,0)</x:f>
        <x:v>0</x:v>
      </x:c>
      <x:c r="Q208" t="n">
        <x:f>IF(AND(B208&gt;=DATE(2026,7,1),B208&lt;=DATE(2026,9,30),G208&gt;=DATE(2026,10,1),G208&lt;=DATE(2026,10,7)),1,0)</x:f>
        <x:v>0</x:v>
      </x:c>
      <x:c r="R208" t="n">
        <x:f>IF(AND(B208&gt;=DATE(2026,7,1),B208&lt;=DATE(2026,9,30),G208&gt;DATE(2026,10,7)),1,0)</x:f>
        <x:v>0</x:v>
      </x:c>
      <x:c r="S208" t="n">
        <x:f>IF(AND(M208=1,J208&lt;&gt;"Ninguna"),1,0)</x:f>
        <x:v>0</x:v>
      </x:c>
    </x:row>
    <x:row r="209">
      <x:c r="A209" t="str">
        <x:v>PED-0208</x:v>
      </x:c>
      <x:c r="B209" s="12" t="n">
        <x:v>46264</x:v>
      </x:c>
      <x:c r="C209" t="str">
        <x:v>MetalNova</x:v>
      </x:c>
      <x:c r="D209" t="str">
        <x:v>Materia prima</x:v>
      </x:c>
      <x:c r="E209" s="10" t="n">
        <x:v>4759.99</x:v>
      </x:c>
      <x:c r="F209" s="12" t="n">
        <x:v>46276</x:v>
      </x:c>
      <x:c r="G209" s="12" t="n">
        <x:v>46275</x:v>
      </x:c>
      <x:c r="H209" t="n">
        <x:v>134</x:v>
      </x:c>
      <x:c r="I209" t="n">
        <x:v>0</x:v>
      </x:c>
      <x:c r="J209" t="str">
        <x:v>Ninguna</x:v>
      </x:c>
      <x:c r="K209" t="str">
        <x:v>No</x:v>
      </x:c>
      <x:c r="L209" t="str">
        <x:v>Barcelona</x:v>
      </x:c>
      <x:c r="M209" t="n">
        <x:f>IF(AND(B209&gt;=DATE(2026,7,1),B209&lt;=DATE(2026,9,30),G209&gt;=DATE(2026,7,1),G209&lt;=DATE(2026,9,30)),1,0)</x:f>
        <x:v>1</x:v>
      </x:c>
      <x:c r="N209" t="n">
        <x:f>IF(M209=1,IF(G209&lt;=F209,1,0),0)</x:f>
        <x:v>1</x:v>
      </x:c>
      <x:c r="O209" t="n">
        <x:f>IF(AND(M209=1,K209="Sí",G209&gt;F209),1,0)</x:f>
        <x:v>0</x:v>
      </x:c>
      <x:c r="P209" t="n">
        <x:f>IF(AND(M209=1,I209&gt;0),1,0)</x:f>
        <x:v>0</x:v>
      </x:c>
      <x:c r="Q209" t="n">
        <x:f>IF(AND(B209&gt;=DATE(2026,7,1),B209&lt;=DATE(2026,9,30),G209&gt;=DATE(2026,10,1),G209&lt;=DATE(2026,10,7)),1,0)</x:f>
        <x:v>0</x:v>
      </x:c>
      <x:c r="R209" t="n">
        <x:f>IF(AND(B209&gt;=DATE(2026,7,1),B209&lt;=DATE(2026,9,30),G209&gt;DATE(2026,10,7)),1,0)</x:f>
        <x:v>0</x:v>
      </x:c>
      <x:c r="S209" t="n">
        <x:f>IF(AND(M209=1,J209&lt;&gt;"Ninguna"),1,0)</x:f>
        <x:v>0</x:v>
      </x:c>
    </x:row>
    <x:row r="210">
      <x:c r="A210" t="str">
        <x:v>PED-0209</x:v>
      </x:c>
      <x:c r="B210" s="12" t="n">
        <x:v>46209</x:v>
      </x:c>
      <x:c r="C210" t="str">
        <x:v>ElectraSupply</x:v>
      </x:c>
      <x:c r="D210" t="str">
        <x:v>Componentes eléctricos</x:v>
      </x:c>
      <x:c r="E210" s="10" t="n">
        <x:v>3551.96</x:v>
      </x:c>
      <x:c r="F210" s="12" t="n">
        <x:v>46223</x:v>
      </x:c>
      <x:c r="G210" s="12" t="n">
        <x:v>46226</x:v>
      </x:c>
      <x:c r="H210" t="n">
        <x:v>267</x:v>
      </x:c>
      <x:c r="I210" t="n">
        <x:v>0</x:v>
      </x:c>
      <x:c r="J210" t="str">
        <x:v>Documentación</x:v>
      </x:c>
      <x:c r="K210" t="str">
        <x:v>No</x:v>
      </x:c>
      <x:c r="L210" t="str">
        <x:v>Zaragoza</x:v>
      </x:c>
      <x:c r="M210" t="n">
        <x:f>IF(AND(B210&gt;=DATE(2026,7,1),B210&lt;=DATE(2026,9,30),G210&gt;=DATE(2026,7,1),G210&lt;=DATE(2026,9,30)),1,0)</x:f>
        <x:v>1</x:v>
      </x:c>
      <x:c r="N210" t="n">
        <x:f>IF(M210=1,IF(G210&lt;=F210,1,0),0)</x:f>
        <x:v>0</x:v>
      </x:c>
      <x:c r="O210" t="n">
        <x:f>IF(AND(M210=1,K210="Sí",G210&gt;F210),1,0)</x:f>
        <x:v>0</x:v>
      </x:c>
      <x:c r="P210" t="n">
        <x:f>IF(AND(M210=1,I210&gt;0),1,0)</x:f>
        <x:v>0</x:v>
      </x:c>
      <x:c r="Q210" t="n">
        <x:f>IF(AND(B210&gt;=DATE(2026,7,1),B210&lt;=DATE(2026,9,30),G210&gt;=DATE(2026,10,1),G210&lt;=DATE(2026,10,7)),1,0)</x:f>
        <x:v>0</x:v>
      </x:c>
      <x:c r="R210" t="n">
        <x:f>IF(AND(B210&gt;=DATE(2026,7,1),B210&lt;=DATE(2026,9,30),G210&gt;DATE(2026,10,7)),1,0)</x:f>
        <x:v>0</x:v>
      </x:c>
      <x:c r="S210" t="n">
        <x:f>IF(AND(M210=1,J210&lt;&gt;"Ninguna"),1,0)</x:f>
        <x:v>1</x:v>
      </x:c>
    </x:row>
    <x:row r="211">
      <x:c r="A211" t="str">
        <x:v>PED-0210</x:v>
      </x:c>
      <x:c r="B211" s="12" t="n">
        <x:v>46286</x:v>
      </x:c>
      <x:c r="C211" t="str">
        <x:v>MetalNova</x:v>
      </x:c>
      <x:c r="D211" t="str">
        <x:v>Materia prima</x:v>
      </x:c>
      <x:c r="E211" s="10" t="n">
        <x:v>10522.56</x:v>
      </x:c>
      <x:c r="F211" s="12" t="n">
        <x:v>46296</x:v>
      </x:c>
      <x:c r="G211" s="12" t="n">
        <x:v>46302</x:v>
      </x:c>
      <x:c r="H211" t="n">
        <x:v>212</x:v>
      </x:c>
      <x:c r="I211" t="n">
        <x:v>0</x:v>
      </x:c>
      <x:c r="J211" t="str">
        <x:v>Retraso</x:v>
      </x:c>
      <x:c r="K211" t="str">
        <x:v>No</x:v>
      </x:c>
      <x:c r="L211" t="str">
        <x:v>Barcelona</x:v>
      </x:c>
      <x:c r="M211" t="n">
        <x:f>IF(AND(B211&gt;=DATE(2026,7,1),B211&lt;=DATE(2026,9,30),G211&gt;=DATE(2026,7,1),G211&lt;=DATE(2026,9,30)),1,0)</x:f>
        <x:v>0</x:v>
      </x:c>
      <x:c r="N211" t="n">
        <x:f>IF(M211=1,IF(G211&lt;=F211,1,0),0)</x:f>
        <x:v>0</x:v>
      </x:c>
      <x:c r="O211" t="n">
        <x:f>IF(AND(M211=1,K211="Sí",G211&gt;F211),1,0)</x:f>
        <x:v>0</x:v>
      </x:c>
      <x:c r="P211" t="n">
        <x:f>IF(AND(M211=1,I211&gt;0),1,0)</x:f>
        <x:v>0</x:v>
      </x:c>
      <x:c r="Q211" t="n">
        <x:f>IF(AND(B211&gt;=DATE(2026,7,1),B211&lt;=DATE(2026,9,30),G211&gt;=DATE(2026,10,1),G211&lt;=DATE(2026,10,7)),1,0)</x:f>
        <x:v>1</x:v>
      </x:c>
      <x:c r="R211" t="n">
        <x:f>IF(AND(B211&gt;=DATE(2026,7,1),B211&lt;=DATE(2026,9,30),G211&gt;DATE(2026,10,7)),1,0)</x:f>
        <x:v>0</x:v>
      </x:c>
      <x:c r="S211" t="n">
        <x:f>IF(AND(M211=1,J211&lt;&gt;"Ninguna"),1,0)</x:f>
        <x:v>0</x:v>
      </x:c>
    </x:row>
    <x:row r="212">
      <x:c r="A212" t="str">
        <x:v>PED-0211</x:v>
      </x:c>
      <x:c r="B212" s="12" t="n">
        <x:v>46262</x:v>
      </x:c>
      <x:c r="C212" t="str">
        <x:v>ElectraSupply</x:v>
      </x:c>
      <x:c r="D212" t="str">
        <x:v>Componentes eléctricos</x:v>
      </x:c>
      <x:c r="E212" s="10" t="n">
        <x:v>3402.41</x:v>
      </x:c>
      <x:c r="F212" s="12" t="n">
        <x:v>46273</x:v>
      </x:c>
      <x:c r="G212" s="12" t="n">
        <x:v>46278</x:v>
      </x:c>
      <x:c r="H212" t="n">
        <x:v>259</x:v>
      </x:c>
      <x:c r="I212" t="n">
        <x:v>0</x:v>
      </x:c>
      <x:c r="J212" t="str">
        <x:v>Daño transporte</x:v>
      </x:c>
      <x:c r="K212" t="str">
        <x:v>No</x:v>
      </x:c>
      <x:c r="L212" t="str">
        <x:v>Valencia</x:v>
      </x:c>
      <x:c r="M212" t="n">
        <x:f>IF(AND(B212&gt;=DATE(2026,7,1),B212&lt;=DATE(2026,9,30),G212&gt;=DATE(2026,7,1),G212&lt;=DATE(2026,9,30)),1,0)</x:f>
        <x:v>1</x:v>
      </x:c>
      <x:c r="N212" t="n">
        <x:f>IF(M212=1,IF(G212&lt;=F212,1,0),0)</x:f>
        <x:v>0</x:v>
      </x:c>
      <x:c r="O212" t="n">
        <x:f>IF(AND(M212=1,K212="Sí",G212&gt;F212),1,0)</x:f>
        <x:v>0</x:v>
      </x:c>
      <x:c r="P212" t="n">
        <x:f>IF(AND(M212=1,I212&gt;0),1,0)</x:f>
        <x:v>0</x:v>
      </x:c>
      <x:c r="Q212" t="n">
        <x:f>IF(AND(B212&gt;=DATE(2026,7,1),B212&lt;=DATE(2026,9,30),G212&gt;=DATE(2026,10,1),G212&lt;=DATE(2026,10,7)),1,0)</x:f>
        <x:v>0</x:v>
      </x:c>
      <x:c r="R212" t="n">
        <x:f>IF(AND(B212&gt;=DATE(2026,7,1),B212&lt;=DATE(2026,9,30),G212&gt;DATE(2026,10,7)),1,0)</x:f>
        <x:v>0</x:v>
      </x:c>
      <x:c r="S212" t="n">
        <x:f>IF(AND(M212=1,J212&lt;&gt;"Ninguna"),1,0)</x:f>
        <x:v>1</x:v>
      </x:c>
    </x:row>
    <x:row r="213">
      <x:c r="A213" t="str">
        <x:v>PED-0212</x:v>
      </x:c>
      <x:c r="B213" s="12" t="n">
        <x:v>46265</x:v>
      </x:c>
      <x:c r="C213" t="str">
        <x:v>MecaParts</x:v>
      </x:c>
      <x:c r="D213" t="str">
        <x:v>Componentes mecánicos</x:v>
      </x:c>
      <x:c r="E213" s="10" t="n">
        <x:v>7521.37</x:v>
      </x:c>
      <x:c r="F213" s="12" t="n">
        <x:v>46276</x:v>
      </x:c>
      <x:c r="G213" s="12" t="n">
        <x:v>46278</x:v>
      </x:c>
      <x:c r="H213" t="n">
        <x:v>156</x:v>
      </x:c>
      <x:c r="I213" t="n">
        <x:v>0</x:v>
      </x:c>
      <x:c r="J213" t="str">
        <x:v>Ninguna</x:v>
      </x:c>
      <x:c r="K213" t="str">
        <x:v>No</x:v>
      </x:c>
      <x:c r="L213" t="str">
        <x:v>Valencia</x:v>
      </x:c>
      <x:c r="M213" t="n">
        <x:f>IF(AND(B213&gt;=DATE(2026,7,1),B213&lt;=DATE(2026,9,30),G213&gt;=DATE(2026,7,1),G213&lt;=DATE(2026,9,30)),1,0)</x:f>
        <x:v>1</x:v>
      </x:c>
      <x:c r="N213" t="n">
        <x:f>IF(M213=1,IF(G213&lt;=F213,1,0),0)</x:f>
        <x:v>0</x:v>
      </x:c>
      <x:c r="O213" t="n">
        <x:f>IF(AND(M213=1,K213="Sí",G213&gt;F213),1,0)</x:f>
        <x:v>0</x:v>
      </x:c>
      <x:c r="P213" t="n">
        <x:f>IF(AND(M213=1,I213&gt;0),1,0)</x:f>
        <x:v>0</x:v>
      </x:c>
      <x:c r="Q213" t="n">
        <x:f>IF(AND(B213&gt;=DATE(2026,7,1),B213&lt;=DATE(2026,9,30),G213&gt;=DATE(2026,10,1),G213&lt;=DATE(2026,10,7)),1,0)</x:f>
        <x:v>0</x:v>
      </x:c>
      <x:c r="R213" t="n">
        <x:f>IF(AND(B213&gt;=DATE(2026,7,1),B213&lt;=DATE(2026,9,30),G213&gt;DATE(2026,10,7)),1,0)</x:f>
        <x:v>0</x:v>
      </x:c>
      <x:c r="S213" t="n">
        <x:f>IF(AND(M213=1,J213&lt;&gt;"Ninguna"),1,0)</x:f>
        <x:v>0</x:v>
      </x:c>
    </x:row>
    <x:row r="214">
      <x:c r="A214" t="str">
        <x:v>PED-0213</x:v>
      </x:c>
      <x:c r="B214" s="12" t="n">
        <x:v>46259</x:v>
      </x:c>
      <x:c r="C214" t="str">
        <x:v>MecaParts</x:v>
      </x:c>
      <x:c r="D214" t="str">
        <x:v>Componentes mecánicos</x:v>
      </x:c>
      <x:c r="E214" s="10" t="n">
        <x:v>7219.41</x:v>
      </x:c>
      <x:c r="F214" s="12" t="n">
        <x:v>46269</x:v>
      </x:c>
      <x:c r="G214" s="12" t="n">
        <x:v>46269</x:v>
      </x:c>
      <x:c r="H214" t="n">
        <x:v>206</x:v>
      </x:c>
      <x:c r="I214" t="n">
        <x:v>0</x:v>
      </x:c>
      <x:c r="J214" t="str">
        <x:v>Cantidad incorrecta</x:v>
      </x:c>
      <x:c r="K214" t="str">
        <x:v>No</x:v>
      </x:c>
      <x:c r="L214" t="str">
        <x:v>Valencia</x:v>
      </x:c>
      <x:c r="M214" t="n">
        <x:f>IF(AND(B214&gt;=DATE(2026,7,1),B214&lt;=DATE(2026,9,30),G214&gt;=DATE(2026,7,1),G214&lt;=DATE(2026,9,30)),1,0)</x:f>
        <x:v>1</x:v>
      </x:c>
      <x:c r="N214" t="n">
        <x:f>IF(M214=1,IF(G214&lt;=F214,1,0),0)</x:f>
        <x:v>1</x:v>
      </x:c>
      <x:c r="O214" t="n">
        <x:f>IF(AND(M214=1,K214="Sí",G214&gt;F214),1,0)</x:f>
        <x:v>0</x:v>
      </x:c>
      <x:c r="P214" t="n">
        <x:f>IF(AND(M214=1,I214&gt;0),1,0)</x:f>
        <x:v>0</x:v>
      </x:c>
      <x:c r="Q214" t="n">
        <x:f>IF(AND(B214&gt;=DATE(2026,7,1),B214&lt;=DATE(2026,9,30),G214&gt;=DATE(2026,10,1),G214&lt;=DATE(2026,10,7)),1,0)</x:f>
        <x:v>0</x:v>
      </x:c>
      <x:c r="R214" t="n">
        <x:f>IF(AND(B214&gt;=DATE(2026,7,1),B214&lt;=DATE(2026,9,30),G214&gt;DATE(2026,10,7)),1,0)</x:f>
        <x:v>0</x:v>
      </x:c>
      <x:c r="S214" t="n">
        <x:f>IF(AND(M214=1,J214&lt;&gt;"Ninguna"),1,0)</x:f>
        <x:v>1</x:v>
      </x:c>
    </x:row>
    <x:row r="215">
      <x:c r="A215" t="str">
        <x:v>PED-0214</x:v>
      </x:c>
      <x:c r="B215" s="12" t="n">
        <x:v>46263</x:v>
      </x:c>
      <x:c r="C215" t="str">
        <x:v>MecaParts</x:v>
      </x:c>
      <x:c r="D215" t="str">
        <x:v>Componentes mecánicos</x:v>
      </x:c>
      <x:c r="E215" s="10" t="n">
        <x:v>4198.6</x:v>
      </x:c>
      <x:c r="F215" s="12" t="n">
        <x:v>46273</x:v>
      </x:c>
      <x:c r="G215" s="12" t="n">
        <x:v>46278</x:v>
      </x:c>
      <x:c r="H215" t="n">
        <x:v>352</x:v>
      </x:c>
      <x:c r="I215" t="n">
        <x:v>0</x:v>
      </x:c>
      <x:c r="J215" t="str">
        <x:v>Cantidad incorrecta</x:v>
      </x:c>
      <x:c r="K215" t="str">
        <x:v>No</x:v>
      </x:c>
      <x:c r="L215" t="str">
        <x:v>Valencia</x:v>
      </x:c>
      <x:c r="M215" t="n">
        <x:f>IF(AND(B215&gt;=DATE(2026,7,1),B215&lt;=DATE(2026,9,30),G215&gt;=DATE(2026,7,1),G215&lt;=DATE(2026,9,30)),1,0)</x:f>
        <x:v>1</x:v>
      </x:c>
      <x:c r="N215" t="n">
        <x:f>IF(M215=1,IF(G215&lt;=F215,1,0),0)</x:f>
        <x:v>0</x:v>
      </x:c>
      <x:c r="O215" t="n">
        <x:f>IF(AND(M215=1,K215="Sí",G215&gt;F215),1,0)</x:f>
        <x:v>0</x:v>
      </x:c>
      <x:c r="P215" t="n">
        <x:f>IF(AND(M215=1,I215&gt;0),1,0)</x:f>
        <x:v>0</x:v>
      </x:c>
      <x:c r="Q215" t="n">
        <x:f>IF(AND(B215&gt;=DATE(2026,7,1),B215&lt;=DATE(2026,9,30),G215&gt;=DATE(2026,10,1),G215&lt;=DATE(2026,10,7)),1,0)</x:f>
        <x:v>0</x:v>
      </x:c>
      <x:c r="R215" t="n">
        <x:f>IF(AND(B215&gt;=DATE(2026,7,1),B215&lt;=DATE(2026,9,30),G215&gt;DATE(2026,10,7)),1,0)</x:f>
        <x:v>0</x:v>
      </x:c>
      <x:c r="S215" t="n">
        <x:f>IF(AND(M215=1,J215&lt;&gt;"Ninguna"),1,0)</x:f>
        <x:v>1</x:v>
      </x:c>
    </x:row>
    <x:row r="216">
      <x:c r="A216" t="str">
        <x:v>PED-0215</x:v>
      </x:c>
      <x:c r="B216" s="12" t="n">
        <x:v>46244</x:v>
      </x:c>
      <x:c r="C216" t="str">
        <x:v>MetalNova</x:v>
      </x:c>
      <x:c r="D216" t="str">
        <x:v>Materia prima</x:v>
      </x:c>
      <x:c r="E216" s="10" t="n">
        <x:v>10662.87</x:v>
      </x:c>
      <x:c r="F216" s="12" t="n">
        <x:v>46255</x:v>
      </x:c>
      <x:c r="G216" s="12" t="n">
        <x:v>46254</x:v>
      </x:c>
      <x:c r="H216" t="n">
        <x:v>351</x:v>
      </x:c>
      <x:c r="I216" t="n">
        <x:v>0</x:v>
      </x:c>
      <x:c r="J216" t="str">
        <x:v>Ninguna</x:v>
      </x:c>
      <x:c r="K216" t="str">
        <x:v>No</x:v>
      </x:c>
      <x:c r="L216" t="str">
        <x:v>Barcelona</x:v>
      </x:c>
      <x:c r="M216" t="n">
        <x:f>IF(AND(B216&gt;=DATE(2026,7,1),B216&lt;=DATE(2026,9,30),G216&gt;=DATE(2026,7,1),G216&lt;=DATE(2026,9,30)),1,0)</x:f>
        <x:v>1</x:v>
      </x:c>
      <x:c r="N216" t="n">
        <x:f>IF(M216=1,IF(G216&lt;=F216,1,0),0)</x:f>
        <x:v>1</x:v>
      </x:c>
      <x:c r="O216" t="n">
        <x:f>IF(AND(M216=1,K216="Sí",G216&gt;F216),1,0)</x:f>
        <x:v>0</x:v>
      </x:c>
      <x:c r="P216" t="n">
        <x:f>IF(AND(M216=1,I216&gt;0),1,0)</x:f>
        <x:v>0</x:v>
      </x:c>
      <x:c r="Q216" t="n">
        <x:f>IF(AND(B216&gt;=DATE(2026,7,1),B216&lt;=DATE(2026,9,30),G216&gt;=DATE(2026,10,1),G216&lt;=DATE(2026,10,7)),1,0)</x:f>
        <x:v>0</x:v>
      </x:c>
      <x:c r="R216" t="n">
        <x:f>IF(AND(B216&gt;=DATE(2026,7,1),B216&lt;=DATE(2026,9,30),G216&gt;DATE(2026,10,7)),1,0)</x:f>
        <x:v>0</x:v>
      </x:c>
      <x:c r="S216" t="n">
        <x:f>IF(AND(M216=1,J216&lt;&gt;"Ninguna"),1,0)</x:f>
        <x:v>0</x:v>
      </x:c>
    </x:row>
    <x:row r="217">
      <x:c r="A217" t="str">
        <x:v>PED-0216</x:v>
      </x:c>
      <x:c r="B217" s="12" t="n">
        <x:v>46227</x:v>
      </x:c>
      <x:c r="C217" t="str">
        <x:v>PackPro</x:v>
      </x:c>
      <x:c r="D217" t="str">
        <x:v>Embalaje</x:v>
      </x:c>
      <x:c r="E217" s="10" t="n">
        <x:v>9167.45</x:v>
      </x:c>
      <x:c r="F217" s="12" t="n">
        <x:v>46235</x:v>
      </x:c>
      <x:c r="G217" s="12" t="n">
        <x:v>46239</x:v>
      </x:c>
      <x:c r="H217" t="n">
        <x:v>264</x:v>
      </x:c>
      <x:c r="I217" t="n">
        <x:v>0</x:v>
      </x:c>
      <x:c r="J217" t="str">
        <x:v>Ninguna</x:v>
      </x:c>
      <x:c r="K217" t="str">
        <x:v>No</x:v>
      </x:c>
      <x:c r="L217" t="str">
        <x:v>Valencia</x:v>
      </x:c>
      <x:c r="M217" t="n">
        <x:f>IF(AND(B217&gt;=DATE(2026,7,1),B217&lt;=DATE(2026,9,30),G217&gt;=DATE(2026,7,1),G217&lt;=DATE(2026,9,30)),1,0)</x:f>
        <x:v>1</x:v>
      </x:c>
      <x:c r="N217" t="n">
        <x:f>IF(M217=1,IF(G217&lt;=F217,1,0),0)</x:f>
        <x:v>0</x:v>
      </x:c>
      <x:c r="O217" t="n">
        <x:f>IF(AND(M217=1,K217="Sí",G217&gt;F217),1,0)</x:f>
        <x:v>0</x:v>
      </x:c>
      <x:c r="P217" t="n">
        <x:f>IF(AND(M217=1,I217&gt;0),1,0)</x:f>
        <x:v>0</x:v>
      </x:c>
      <x:c r="Q217" t="n">
        <x:f>IF(AND(B217&gt;=DATE(2026,7,1),B217&lt;=DATE(2026,9,30),G217&gt;=DATE(2026,10,1),G217&lt;=DATE(2026,10,7)),1,0)</x:f>
        <x:v>0</x:v>
      </x:c>
      <x:c r="R217" t="n">
        <x:f>IF(AND(B217&gt;=DATE(2026,7,1),B217&lt;=DATE(2026,9,30),G217&gt;DATE(2026,10,7)),1,0)</x:f>
        <x:v>0</x:v>
      </x:c>
      <x:c r="S217" t="n">
        <x:f>IF(AND(M217=1,J217&lt;&gt;"Ninguna"),1,0)</x:f>
        <x:v>0</x:v>
      </x:c>
    </x:row>
    <x:row r="218">
      <x:c r="A218" t="str">
        <x:v>PED-0217</x:v>
      </x:c>
      <x:c r="B218" s="12" t="n">
        <x:v>46206</x:v>
      </x:c>
      <x:c r="C218" t="str">
        <x:v>ElectraSupply</x:v>
      </x:c>
      <x:c r="D218" t="str">
        <x:v>Componentes eléctricos</x:v>
      </x:c>
      <x:c r="E218" s="10" t="n">
        <x:v>11695.24</x:v>
      </x:c>
      <x:c r="F218" s="12" t="n">
        <x:v>46220</x:v>
      </x:c>
      <x:c r="G218" s="12" t="n">
        <x:v>46224</x:v>
      </x:c>
      <x:c r="H218" t="n">
        <x:v>333</x:v>
      </x:c>
      <x:c r="I218" t="n">
        <x:v>0</x:v>
      </x:c>
      <x:c r="J218" t="str">
        <x:v>Ninguna</x:v>
      </x:c>
      <x:c r="K218" t="str">
        <x:v>Sí</x:v>
      </x:c>
      <x:c r="L218" t="str">
        <x:v>Barcelona</x:v>
      </x:c>
      <x:c r="M218" t="n">
        <x:f>IF(AND(B218&gt;=DATE(2026,7,1),B218&lt;=DATE(2026,9,30),G218&gt;=DATE(2026,7,1),G218&lt;=DATE(2026,9,30)),1,0)</x:f>
        <x:v>1</x:v>
      </x:c>
      <x:c r="N218" t="n">
        <x:f>IF(M218=1,IF(G218&lt;=F218,1,0),0)</x:f>
        <x:v>0</x:v>
      </x:c>
      <x:c r="O218" t="n">
        <x:f>IF(AND(M218=1,K218="Sí",G218&gt;F218),1,0)</x:f>
        <x:v>1</x:v>
      </x:c>
      <x:c r="P218" t="n">
        <x:f>IF(AND(M218=1,I218&gt;0),1,0)</x:f>
        <x:v>0</x:v>
      </x:c>
      <x:c r="Q218" t="n">
        <x:f>IF(AND(B218&gt;=DATE(2026,7,1),B218&lt;=DATE(2026,9,30),G218&gt;=DATE(2026,10,1),G218&lt;=DATE(2026,10,7)),1,0)</x:f>
        <x:v>0</x:v>
      </x:c>
      <x:c r="R218" t="n">
        <x:f>IF(AND(B218&gt;=DATE(2026,7,1),B218&lt;=DATE(2026,9,30),G218&gt;DATE(2026,10,7)),1,0)</x:f>
        <x:v>0</x:v>
      </x:c>
      <x:c r="S218" t="n">
        <x:f>IF(AND(M218=1,J218&lt;&gt;"Ninguna"),1,0)</x:f>
        <x:v>0</x:v>
      </x:c>
    </x:row>
    <x:row r="219">
      <x:c r="A219" t="str">
        <x:v>PED-0218</x:v>
      </x:c>
      <x:c r="B219" s="12" t="n">
        <x:v>46234</x:v>
      </x:c>
      <x:c r="C219" t="str">
        <x:v>PackPro</x:v>
      </x:c>
      <x:c r="D219" t="str">
        <x:v>Embalaje</x:v>
      </x:c>
      <x:c r="E219" s="10" t="n">
        <x:v>15236.9</x:v>
      </x:c>
      <x:c r="F219" s="12" t="n">
        <x:v>46242</x:v>
      </x:c>
      <x:c r="G219" s="12" t="n">
        <x:v>46240</x:v>
      </x:c>
      <x:c r="H219" t="n">
        <x:v>300</x:v>
      </x:c>
      <x:c r="I219" t="n">
        <x:v>0</x:v>
      </x:c>
      <x:c r="J219" t="str">
        <x:v>Daño transporte</x:v>
      </x:c>
      <x:c r="K219" t="str">
        <x:v>No</x:v>
      </x:c>
      <x:c r="L219" t="str">
        <x:v>Zaragoza</x:v>
      </x:c>
      <x:c r="M219" t="n">
        <x:f>IF(AND(B219&gt;=DATE(2026,7,1),B219&lt;=DATE(2026,9,30),G219&gt;=DATE(2026,7,1),G219&lt;=DATE(2026,9,30)),1,0)</x:f>
        <x:v>1</x:v>
      </x:c>
      <x:c r="N219" t="n">
        <x:f>IF(M219=1,IF(G219&lt;=F219,1,0),0)</x:f>
        <x:v>1</x:v>
      </x:c>
      <x:c r="O219" t="n">
        <x:f>IF(AND(M219=1,K219="Sí",G219&gt;F219),1,0)</x:f>
        <x:v>0</x:v>
      </x:c>
      <x:c r="P219" t="n">
        <x:f>IF(AND(M219=1,I219&gt;0),1,0)</x:f>
        <x:v>0</x:v>
      </x:c>
      <x:c r="Q219" t="n">
        <x:f>IF(AND(B219&gt;=DATE(2026,7,1),B219&lt;=DATE(2026,9,30),G219&gt;=DATE(2026,10,1),G219&lt;=DATE(2026,10,7)),1,0)</x:f>
        <x:v>0</x:v>
      </x:c>
      <x:c r="R219" t="n">
        <x:f>IF(AND(B219&gt;=DATE(2026,7,1),B219&lt;=DATE(2026,9,30),G219&gt;DATE(2026,10,7)),1,0)</x:f>
        <x:v>0</x:v>
      </x:c>
      <x:c r="S219" t="n">
        <x:f>IF(AND(M219=1,J219&lt;&gt;"Ninguna"),1,0)</x:f>
        <x:v>1</x:v>
      </x:c>
    </x:row>
    <x:row r="220">
      <x:c r="A220" t="str">
        <x:v>PED-0219</x:v>
      </x:c>
      <x:c r="B220" s="12" t="n">
        <x:v>46281</x:v>
      </x:c>
      <x:c r="C220" t="str">
        <x:v>MecaParts</x:v>
      </x:c>
      <x:c r="D220" t="str">
        <x:v>Componentes mecánicos</x:v>
      </x:c>
      <x:c r="E220" s="10" t="n">
        <x:v>9844.49</x:v>
      </x:c>
      <x:c r="F220" s="12" t="n">
        <x:v>46291</x:v>
      </x:c>
      <x:c r="G220" s="12" t="n">
        <x:v>46295</x:v>
      </x:c>
      <x:c r="H220" t="n">
        <x:v>354</x:v>
      </x:c>
      <x:c r="I220" t="n">
        <x:v>0</x:v>
      </x:c>
      <x:c r="J220" t="str">
        <x:v>Retraso</x:v>
      </x:c>
      <x:c r="K220" t="str">
        <x:v>No</x:v>
      </x:c>
      <x:c r="L220" t="str">
        <x:v>Valencia</x:v>
      </x:c>
      <x:c r="M220" t="n">
        <x:f>IF(AND(B220&gt;=DATE(2026,7,1),B220&lt;=DATE(2026,9,30),G220&gt;=DATE(2026,7,1),G220&lt;=DATE(2026,9,30)),1,0)</x:f>
        <x:v>1</x:v>
      </x:c>
      <x:c r="N220" t="n">
        <x:f>IF(M220=1,IF(G220&lt;=F220,1,0),0)</x:f>
        <x:v>0</x:v>
      </x:c>
      <x:c r="O220" t="n">
        <x:f>IF(AND(M220=1,K220="Sí",G220&gt;F220),1,0)</x:f>
        <x:v>0</x:v>
      </x:c>
      <x:c r="P220" t="n">
        <x:f>IF(AND(M220=1,I220&gt;0),1,0)</x:f>
        <x:v>0</x:v>
      </x:c>
      <x:c r="Q220" t="n">
        <x:f>IF(AND(B220&gt;=DATE(2026,7,1),B220&lt;=DATE(2026,9,30),G220&gt;=DATE(2026,10,1),G220&lt;=DATE(2026,10,7)),1,0)</x:f>
        <x:v>0</x:v>
      </x:c>
      <x:c r="R220" t="n">
        <x:f>IF(AND(B220&gt;=DATE(2026,7,1),B220&lt;=DATE(2026,9,30),G220&gt;DATE(2026,10,7)),1,0)</x:f>
        <x:v>0</x:v>
      </x:c>
      <x:c r="S220" t="n">
        <x:f>IF(AND(M220=1,J220&lt;&gt;"Ninguna"),1,0)</x:f>
        <x:v>1</x:v>
      </x:c>
    </x:row>
    <x:row r="221">
      <x:c r="A221" t="str">
        <x:v>PED-0220</x:v>
      </x:c>
      <x:c r="B221" s="12" t="n">
        <x:v>46266</x:v>
      </x:c>
      <x:c r="C221" t="str">
        <x:v>ElectraSupply</x:v>
      </x:c>
      <x:c r="D221" t="str">
        <x:v>Componentes eléctricos</x:v>
      </x:c>
      <x:c r="E221" s="10" t="n">
        <x:v>7047.77</x:v>
      </x:c>
      <x:c r="F221" s="12" t="n">
        <x:v>46280</x:v>
      </x:c>
      <x:c r="G221" s="12" t="n">
        <x:v>46284</x:v>
      </x:c>
      <x:c r="H221" t="n">
        <x:v>144</x:v>
      </x:c>
      <x:c r="I221" t="n">
        <x:v>0</x:v>
      </x:c>
      <x:c r="J221" t="str">
        <x:v>Ninguna</x:v>
      </x:c>
      <x:c r="K221" t="str">
        <x:v>No</x:v>
      </x:c>
      <x:c r="L221" t="str">
        <x:v>Valencia</x:v>
      </x:c>
      <x:c r="M221" t="n">
        <x:f>IF(AND(B221&gt;=DATE(2026,7,1),B221&lt;=DATE(2026,9,30),G221&gt;=DATE(2026,7,1),G221&lt;=DATE(2026,9,30)),1,0)</x:f>
        <x:v>1</x:v>
      </x:c>
      <x:c r="N221" t="n">
        <x:f>IF(M221=1,IF(G221&lt;=F221,1,0),0)</x:f>
        <x:v>0</x:v>
      </x:c>
      <x:c r="O221" t="n">
        <x:f>IF(AND(M221=1,K221="Sí",G221&gt;F221),1,0)</x:f>
        <x:v>0</x:v>
      </x:c>
      <x:c r="P221" t="n">
        <x:f>IF(AND(M221=1,I221&gt;0),1,0)</x:f>
        <x:v>0</x:v>
      </x:c>
      <x:c r="Q221" t="n">
        <x:f>IF(AND(B221&gt;=DATE(2026,7,1),B221&lt;=DATE(2026,9,30),G221&gt;=DATE(2026,10,1),G221&lt;=DATE(2026,10,7)),1,0)</x:f>
        <x:v>0</x:v>
      </x:c>
      <x:c r="R221" t="n">
        <x:f>IF(AND(B221&gt;=DATE(2026,7,1),B221&lt;=DATE(2026,9,30),G221&gt;DATE(2026,10,7)),1,0)</x:f>
        <x:v>0</x:v>
      </x:c>
      <x:c r="S221" t="n">
        <x:f>IF(AND(M221=1,J221&lt;&gt;"Ninguna"),1,0)</x:f>
        <x:v>0</x:v>
      </x:c>
    </x:row>
    <x:row r="222">
      <x:c r="A222" t="str">
        <x:v>PED-0221</x:v>
      </x:c>
      <x:c r="B222" s="12" t="n">
        <x:v>46254</x:v>
      </x:c>
      <x:c r="C222" t="str">
        <x:v>MetalNova</x:v>
      </x:c>
      <x:c r="D222" t="str">
        <x:v>Materia prima</x:v>
      </x:c>
      <x:c r="E222" s="10" t="n">
        <x:v>9986.61</x:v>
      </x:c>
      <x:c r="F222" s="12" t="n">
        <x:v>46266</x:v>
      </x:c>
      <x:c r="G222" s="12" t="n">
        <x:v>46269</x:v>
      </x:c>
      <x:c r="H222" t="n">
        <x:v>195</x:v>
      </x:c>
      <x:c r="I222" t="n">
        <x:v>0</x:v>
      </x:c>
      <x:c r="J222" t="str">
        <x:v>Ninguna</x:v>
      </x:c>
      <x:c r="K222" t="str">
        <x:v>No</x:v>
      </x:c>
      <x:c r="L222" t="str">
        <x:v>Valencia</x:v>
      </x:c>
      <x:c r="M222" t="n">
        <x:f>IF(AND(B222&gt;=DATE(2026,7,1),B222&lt;=DATE(2026,9,30),G222&gt;=DATE(2026,7,1),G222&lt;=DATE(2026,9,30)),1,0)</x:f>
        <x:v>1</x:v>
      </x:c>
      <x:c r="N222" t="n">
        <x:f>IF(M222=1,IF(G222&lt;=F222,1,0),0)</x:f>
        <x:v>0</x:v>
      </x:c>
      <x:c r="O222" t="n">
        <x:f>IF(AND(M222=1,K222="Sí",G222&gt;F222),1,0)</x:f>
        <x:v>0</x:v>
      </x:c>
      <x:c r="P222" t="n">
        <x:f>IF(AND(M222=1,I222&gt;0),1,0)</x:f>
        <x:v>0</x:v>
      </x:c>
      <x:c r="Q222" t="n">
        <x:f>IF(AND(B222&gt;=DATE(2026,7,1),B222&lt;=DATE(2026,9,30),G222&gt;=DATE(2026,10,1),G222&lt;=DATE(2026,10,7)),1,0)</x:f>
        <x:v>0</x:v>
      </x:c>
      <x:c r="R222" t="n">
        <x:f>IF(AND(B222&gt;=DATE(2026,7,1),B222&lt;=DATE(2026,9,30),G222&gt;DATE(2026,10,7)),1,0)</x:f>
        <x:v>0</x:v>
      </x:c>
      <x:c r="S222" t="n">
        <x:f>IF(AND(M222=1,J222&lt;&gt;"Ninguna"),1,0)</x:f>
        <x:v>0</x:v>
      </x:c>
    </x:row>
    <x:row r="223">
      <x:c r="A223" t="str">
        <x:v>PED-0222</x:v>
      </x:c>
      <x:c r="B223" s="12" t="n">
        <x:v>46205</x:v>
      </x:c>
      <x:c r="C223" t="str">
        <x:v>PackPro</x:v>
      </x:c>
      <x:c r="D223" t="str">
        <x:v>Embalaje</x:v>
      </x:c>
      <x:c r="E223" s="10" t="n">
        <x:v>1211.83</x:v>
      </x:c>
      <x:c r="F223" s="12" t="n">
        <x:v>46210</x:v>
      </x:c>
      <x:c r="G223" s="12" t="n">
        <x:v>46212</x:v>
      </x:c>
      <x:c r="H223" t="n">
        <x:v>86</x:v>
      </x:c>
      <x:c r="I223" t="n">
        <x:v>0</x:v>
      </x:c>
      <x:c r="J223" t="str">
        <x:v>Ninguna</x:v>
      </x:c>
      <x:c r="K223" t="str">
        <x:v>No</x:v>
      </x:c>
      <x:c r="L223" t="str">
        <x:v>Barcelona</x:v>
      </x:c>
      <x:c r="M223" t="n">
        <x:f>IF(AND(B223&gt;=DATE(2026,7,1),B223&lt;=DATE(2026,9,30),G223&gt;=DATE(2026,7,1),G223&lt;=DATE(2026,9,30)),1,0)</x:f>
        <x:v>1</x:v>
      </x:c>
      <x:c r="N223" t="n">
        <x:f>IF(M223=1,IF(G223&lt;=F223,1,0),0)</x:f>
        <x:v>0</x:v>
      </x:c>
      <x:c r="O223" t="n">
        <x:f>IF(AND(M223=1,K223="Sí",G223&gt;F223),1,0)</x:f>
        <x:v>0</x:v>
      </x:c>
      <x:c r="P223" t="n">
        <x:f>IF(AND(M223=1,I223&gt;0),1,0)</x:f>
        <x:v>0</x:v>
      </x:c>
      <x:c r="Q223" t="n">
        <x:f>IF(AND(B223&gt;=DATE(2026,7,1),B223&lt;=DATE(2026,9,30),G223&gt;=DATE(2026,10,1),G223&lt;=DATE(2026,10,7)),1,0)</x:f>
        <x:v>0</x:v>
      </x:c>
      <x:c r="R223" t="n">
        <x:f>IF(AND(B223&gt;=DATE(2026,7,1),B223&lt;=DATE(2026,9,30),G223&gt;DATE(2026,10,7)),1,0)</x:f>
        <x:v>0</x:v>
      </x:c>
      <x:c r="S223" t="n">
        <x:f>IF(AND(M223=1,J223&lt;&gt;"Ninguna"),1,0)</x:f>
        <x:v>0</x:v>
      </x:c>
    </x:row>
    <x:row r="224">
      <x:c r="A224" t="str">
        <x:v>PED-0223</x:v>
      </x:c>
      <x:c r="B224" s="12" t="n">
        <x:v>46243</x:v>
      </x:c>
      <x:c r="C224" t="str">
        <x:v>MecaParts</x:v>
      </x:c>
      <x:c r="D224" t="str">
        <x:v>Componentes mecánicos</x:v>
      </x:c>
      <x:c r="E224" s="10" t="n">
        <x:v>8696.42</x:v>
      </x:c>
      <x:c r="F224" s="12" t="n">
        <x:v>46254</x:v>
      </x:c>
      <x:c r="G224" s="12" t="n">
        <x:v>46254</x:v>
      </x:c>
      <x:c r="H224" t="n">
        <x:v>206</x:v>
      </x:c>
      <x:c r="I224" t="n">
        <x:v>0</x:v>
      </x:c>
      <x:c r="J224" t="str">
        <x:v>Ninguna</x:v>
      </x:c>
      <x:c r="K224" t="str">
        <x:v>Sí</x:v>
      </x:c>
      <x:c r="L224" t="str">
        <x:v>Valencia</x:v>
      </x:c>
      <x:c r="M224" t="n">
        <x:f>IF(AND(B224&gt;=DATE(2026,7,1),B224&lt;=DATE(2026,9,30),G224&gt;=DATE(2026,7,1),G224&lt;=DATE(2026,9,30)),1,0)</x:f>
        <x:v>1</x:v>
      </x:c>
      <x:c r="N224" t="n">
        <x:f>IF(M224=1,IF(G224&lt;=F224,1,0),0)</x:f>
        <x:v>1</x:v>
      </x:c>
      <x:c r="O224" t="n">
        <x:f>IF(AND(M224=1,K224="Sí",G224&gt;F224),1,0)</x:f>
        <x:v>0</x:v>
      </x:c>
      <x:c r="P224" t="n">
        <x:f>IF(AND(M224=1,I224&gt;0),1,0)</x:f>
        <x:v>0</x:v>
      </x:c>
      <x:c r="Q224" t="n">
        <x:f>IF(AND(B224&gt;=DATE(2026,7,1),B224&lt;=DATE(2026,9,30),G224&gt;=DATE(2026,10,1),G224&lt;=DATE(2026,10,7)),1,0)</x:f>
        <x:v>0</x:v>
      </x:c>
      <x:c r="R224" t="n">
        <x:f>IF(AND(B224&gt;=DATE(2026,7,1),B224&lt;=DATE(2026,9,30),G224&gt;DATE(2026,10,7)),1,0)</x:f>
        <x:v>0</x:v>
      </x:c>
      <x:c r="S224" t="n">
        <x:f>IF(AND(M224=1,J224&lt;&gt;"Ninguna"),1,0)</x:f>
        <x:v>0</x:v>
      </x:c>
    </x:row>
    <x:row r="225">
      <x:c r="A225" t="str">
        <x:v>PED-0224</x:v>
      </x:c>
      <x:c r="B225" s="12" t="n">
        <x:v>46242</x:v>
      </x:c>
      <x:c r="C225" t="str">
        <x:v>MecaParts</x:v>
      </x:c>
      <x:c r="D225" t="str">
        <x:v>Componentes mecánicos</x:v>
      </x:c>
      <x:c r="E225" s="10" t="n">
        <x:v>3527.83</x:v>
      </x:c>
      <x:c r="F225" s="12" t="n">
        <x:v>46252</x:v>
      </x:c>
      <x:c r="G225" s="12" t="n">
        <x:v>46250</x:v>
      </x:c>
      <x:c r="H225" t="n">
        <x:v>149</x:v>
      </x:c>
      <x:c r="I225" t="n">
        <x:v>0</x:v>
      </x:c>
      <x:c r="J225" t="str">
        <x:v>Cantidad incorrecta</x:v>
      </x:c>
      <x:c r="K225" t="str">
        <x:v>No</x:v>
      </x:c>
      <x:c r="L225" t="str">
        <x:v>Barcelona</x:v>
      </x:c>
      <x:c r="M225" t="n">
        <x:f>IF(AND(B225&gt;=DATE(2026,7,1),B225&lt;=DATE(2026,9,30),G225&gt;=DATE(2026,7,1),G225&lt;=DATE(2026,9,30)),1,0)</x:f>
        <x:v>1</x:v>
      </x:c>
      <x:c r="N225" t="n">
        <x:f>IF(M225=1,IF(G225&lt;=F225,1,0),0)</x:f>
        <x:v>1</x:v>
      </x:c>
      <x:c r="O225" t="n">
        <x:f>IF(AND(M225=1,K225="Sí",G225&gt;F225),1,0)</x:f>
        <x:v>0</x:v>
      </x:c>
      <x:c r="P225" t="n">
        <x:f>IF(AND(M225=1,I225&gt;0),1,0)</x:f>
        <x:v>0</x:v>
      </x:c>
      <x:c r="Q225" t="n">
        <x:f>IF(AND(B225&gt;=DATE(2026,7,1),B225&lt;=DATE(2026,9,30),G225&gt;=DATE(2026,10,1),G225&lt;=DATE(2026,10,7)),1,0)</x:f>
        <x:v>0</x:v>
      </x:c>
      <x:c r="R225" t="n">
        <x:f>IF(AND(B225&gt;=DATE(2026,7,1),B225&lt;=DATE(2026,9,30),G225&gt;DATE(2026,10,7)),1,0)</x:f>
        <x:v>0</x:v>
      </x:c>
      <x:c r="S225" t="n">
        <x:f>IF(AND(M225=1,J225&lt;&gt;"Ninguna"),1,0)</x:f>
        <x:v>1</x:v>
      </x:c>
    </x:row>
    <x:row r="226">
      <x:c r="A226" t="str">
        <x:v>PED-0225</x:v>
      </x:c>
      <x:c r="B226" s="12" t="n">
        <x:v>46227</x:v>
      </x:c>
      <x:c r="C226" t="str">
        <x:v>MecaParts</x:v>
      </x:c>
      <x:c r="D226" t="str">
        <x:v>Componentes mecánicos</x:v>
      </x:c>
      <x:c r="E226" s="10" t="n">
        <x:v>8607.77</x:v>
      </x:c>
      <x:c r="F226" s="12" t="n">
        <x:v>46235</x:v>
      </x:c>
      <x:c r="G226" s="12" t="n">
        <x:v>46235</x:v>
      </x:c>
      <x:c r="H226" t="n">
        <x:v>327</x:v>
      </x:c>
      <x:c r="I226" t="n">
        <x:v>0</x:v>
      </x:c>
      <x:c r="J226" t="str">
        <x:v>Ninguna</x:v>
      </x:c>
      <x:c r="K226" t="str">
        <x:v>No</x:v>
      </x:c>
      <x:c r="L226" t="str">
        <x:v>Zaragoza</x:v>
      </x:c>
      <x:c r="M226" t="n">
        <x:f>IF(AND(B226&gt;=DATE(2026,7,1),B226&lt;=DATE(2026,9,30),G226&gt;=DATE(2026,7,1),G226&lt;=DATE(2026,9,30)),1,0)</x:f>
        <x:v>1</x:v>
      </x:c>
      <x:c r="N226" t="n">
        <x:f>IF(M226=1,IF(G226&lt;=F226,1,0),0)</x:f>
        <x:v>1</x:v>
      </x:c>
      <x:c r="O226" t="n">
        <x:f>IF(AND(M226=1,K226="Sí",G226&gt;F226),1,0)</x:f>
        <x:v>0</x:v>
      </x:c>
      <x:c r="P226" t="n">
        <x:f>IF(AND(M226=1,I226&gt;0),1,0)</x:f>
        <x:v>0</x:v>
      </x:c>
      <x:c r="Q226" t="n">
        <x:f>IF(AND(B226&gt;=DATE(2026,7,1),B226&lt;=DATE(2026,9,30),G226&gt;=DATE(2026,10,1),G226&lt;=DATE(2026,10,7)),1,0)</x:f>
        <x:v>0</x:v>
      </x:c>
      <x:c r="R226" t="n">
        <x:f>IF(AND(B226&gt;=DATE(2026,7,1),B226&lt;=DATE(2026,9,30),G226&gt;DATE(2026,10,7)),1,0)</x:f>
        <x:v>0</x:v>
      </x:c>
      <x:c r="S226" t="n">
        <x:f>IF(AND(M226=1,J226&lt;&gt;"Ninguna"),1,0)</x:f>
        <x:v>0</x:v>
      </x:c>
    </x:row>
    <x:row r="227">
      <x:c r="A227" t="str">
        <x:v>PED-0226</x:v>
      </x:c>
      <x:c r="B227" s="12" t="n">
        <x:v>46249</x:v>
      </x:c>
      <x:c r="C227" t="str">
        <x:v>PackPro</x:v>
      </x:c>
      <x:c r="D227" t="str">
        <x:v>Embalaje</x:v>
      </x:c>
      <x:c r="E227" s="10" t="n">
        <x:v>10527.22</x:v>
      </x:c>
      <x:c r="F227" s="12" t="n">
        <x:v>46257</x:v>
      </x:c>
      <x:c r="G227" s="12" t="n">
        <x:v>46256</x:v>
      </x:c>
      <x:c r="H227" t="n">
        <x:v>239</x:v>
      </x:c>
      <x:c r="I227" t="n">
        <x:v>0</x:v>
      </x:c>
      <x:c r="J227" t="str">
        <x:v>Ninguna</x:v>
      </x:c>
      <x:c r="K227" t="str">
        <x:v>No</x:v>
      </x:c>
      <x:c r="L227" t="str">
        <x:v>Barcelona</x:v>
      </x:c>
      <x:c r="M227" t="n">
        <x:f>IF(AND(B227&gt;=DATE(2026,7,1),B227&lt;=DATE(2026,9,30),G227&gt;=DATE(2026,7,1),G227&lt;=DATE(2026,9,30)),1,0)</x:f>
        <x:v>1</x:v>
      </x:c>
      <x:c r="N227" t="n">
        <x:f>IF(M227=1,IF(G227&lt;=F227,1,0),0)</x:f>
        <x:v>1</x:v>
      </x:c>
      <x:c r="O227" t="n">
        <x:f>IF(AND(M227=1,K227="Sí",G227&gt;F227),1,0)</x:f>
        <x:v>0</x:v>
      </x:c>
      <x:c r="P227" t="n">
        <x:f>IF(AND(M227=1,I227&gt;0),1,0)</x:f>
        <x:v>0</x:v>
      </x:c>
      <x:c r="Q227" t="n">
        <x:f>IF(AND(B227&gt;=DATE(2026,7,1),B227&lt;=DATE(2026,9,30),G227&gt;=DATE(2026,10,1),G227&lt;=DATE(2026,10,7)),1,0)</x:f>
        <x:v>0</x:v>
      </x:c>
      <x:c r="R227" t="n">
        <x:f>IF(AND(B227&gt;=DATE(2026,7,1),B227&lt;=DATE(2026,9,30),G227&gt;DATE(2026,10,7)),1,0)</x:f>
        <x:v>0</x:v>
      </x:c>
      <x:c r="S227" t="n">
        <x:f>IF(AND(M227=1,J227&lt;&gt;"Ninguna"),1,0)</x:f>
        <x:v>0</x:v>
      </x:c>
    </x:row>
    <x:row r="228">
      <x:c r="A228" t="str">
        <x:v>PED-0227</x:v>
      </x:c>
      <x:c r="B228" s="12" t="n">
        <x:v>46233</x:v>
      </x:c>
      <x:c r="C228" t="str">
        <x:v>PackPro</x:v>
      </x:c>
      <x:c r="D228" t="str">
        <x:v>Embalaje</x:v>
      </x:c>
      <x:c r="E228" s="10" t="n">
        <x:v>13971.39</x:v>
      </x:c>
      <x:c r="F228" s="12" t="n">
        <x:v>46238</x:v>
      </x:c>
      <x:c r="G228" s="12" t="n">
        <x:v>46240</x:v>
      </x:c>
      <x:c r="H228" t="n">
        <x:v>379</x:v>
      </x:c>
      <x:c r="I228" t="n">
        <x:v>0</x:v>
      </x:c>
      <x:c r="J228" t="str">
        <x:v>Ninguna</x:v>
      </x:c>
      <x:c r="K228" t="str">
        <x:v>No</x:v>
      </x:c>
      <x:c r="L228" t="str">
        <x:v>Barcelona</x:v>
      </x:c>
      <x:c r="M228" t="n">
        <x:f>IF(AND(B228&gt;=DATE(2026,7,1),B228&lt;=DATE(2026,9,30),G228&gt;=DATE(2026,7,1),G228&lt;=DATE(2026,9,30)),1,0)</x:f>
        <x:v>1</x:v>
      </x:c>
      <x:c r="N228" t="n">
        <x:f>IF(M228=1,IF(G228&lt;=F228,1,0),0)</x:f>
        <x:v>0</x:v>
      </x:c>
      <x:c r="O228" t="n">
        <x:f>IF(AND(M228=1,K228="Sí",G228&gt;F228),1,0)</x:f>
        <x:v>0</x:v>
      </x:c>
      <x:c r="P228" t="n">
        <x:f>IF(AND(M228=1,I228&gt;0),1,0)</x:f>
        <x:v>0</x:v>
      </x:c>
      <x:c r="Q228" t="n">
        <x:f>IF(AND(B228&gt;=DATE(2026,7,1),B228&lt;=DATE(2026,9,30),G228&gt;=DATE(2026,10,1),G228&lt;=DATE(2026,10,7)),1,0)</x:f>
        <x:v>0</x:v>
      </x:c>
      <x:c r="R228" t="n">
        <x:f>IF(AND(B228&gt;=DATE(2026,7,1),B228&lt;=DATE(2026,9,30),G228&gt;DATE(2026,10,7)),1,0)</x:f>
        <x:v>0</x:v>
      </x:c>
      <x:c r="S228" t="n">
        <x:f>IF(AND(M228=1,J228&lt;&gt;"Ninguna"),1,0)</x:f>
        <x:v>0</x:v>
      </x:c>
    </x:row>
    <x:row r="229">
      <x:c r="A229" t="str">
        <x:v>PED-0228</x:v>
      </x:c>
      <x:c r="B229" s="12" t="n">
        <x:v>46275</x:v>
      </x:c>
      <x:c r="C229" t="str">
        <x:v>PackPro</x:v>
      </x:c>
      <x:c r="D229" t="str">
        <x:v>Embalaje</x:v>
      </x:c>
      <x:c r="E229" s="10" t="n">
        <x:v>6405.54</x:v>
      </x:c>
      <x:c r="F229" s="12" t="n">
        <x:v>46282</x:v>
      </x:c>
      <x:c r="G229" s="12" t="n">
        <x:v>46281</x:v>
      </x:c>
      <x:c r="H229" t="n">
        <x:v>194</x:v>
      </x:c>
      <x:c r="I229" t="n">
        <x:v>0</x:v>
      </x:c>
      <x:c r="J229" t="str">
        <x:v>Ninguna</x:v>
      </x:c>
      <x:c r="K229" t="str">
        <x:v>No</x:v>
      </x:c>
      <x:c r="L229" t="str">
        <x:v>Zaragoza</x:v>
      </x:c>
      <x:c r="M229" t="n">
        <x:f>IF(AND(B229&gt;=DATE(2026,7,1),B229&lt;=DATE(2026,9,30),G229&gt;=DATE(2026,7,1),G229&lt;=DATE(2026,9,30)),1,0)</x:f>
        <x:v>1</x:v>
      </x:c>
      <x:c r="N229" t="n">
        <x:f>IF(M229=1,IF(G229&lt;=F229,1,0),0)</x:f>
        <x:v>1</x:v>
      </x:c>
      <x:c r="O229" t="n">
        <x:f>IF(AND(M229=1,K229="Sí",G229&gt;F229),1,0)</x:f>
        <x:v>0</x:v>
      </x:c>
      <x:c r="P229" t="n">
        <x:f>IF(AND(M229=1,I229&gt;0),1,0)</x:f>
        <x:v>0</x:v>
      </x:c>
      <x:c r="Q229" t="n">
        <x:f>IF(AND(B229&gt;=DATE(2026,7,1),B229&lt;=DATE(2026,9,30),G229&gt;=DATE(2026,10,1),G229&lt;=DATE(2026,10,7)),1,0)</x:f>
        <x:v>0</x:v>
      </x:c>
      <x:c r="R229" t="n">
        <x:f>IF(AND(B229&gt;=DATE(2026,7,1),B229&lt;=DATE(2026,9,30),G229&gt;DATE(2026,10,7)),1,0)</x:f>
        <x:v>0</x:v>
      </x:c>
      <x:c r="S229" t="n">
        <x:f>IF(AND(M229=1,J229&lt;&gt;"Ninguna"),1,0)</x:f>
        <x:v>0</x:v>
      </x:c>
    </x:row>
    <x:row r="230">
      <x:c r="A230" t="str">
        <x:v>PED-0229</x:v>
      </x:c>
      <x:c r="B230" s="12" t="n">
        <x:v>46276</x:v>
      </x:c>
      <x:c r="C230" t="str">
        <x:v>ElectraSupply</x:v>
      </x:c>
      <x:c r="D230" t="str">
        <x:v>Componentes eléctricos</x:v>
      </x:c>
      <x:c r="E230" s="10" t="n">
        <x:v>8258.49</x:v>
      </x:c>
      <x:c r="F230" s="12" t="n">
        <x:v>46287</x:v>
      </x:c>
      <x:c r="G230" s="12" t="n">
        <x:v>46290</x:v>
      </x:c>
      <x:c r="H230" t="n">
        <x:v>317</x:v>
      </x:c>
      <x:c r="I230" t="n">
        <x:v>0</x:v>
      </x:c>
      <x:c r="J230" t="str">
        <x:v>Ninguna</x:v>
      </x:c>
      <x:c r="K230" t="str">
        <x:v>No</x:v>
      </x:c>
      <x:c r="L230" t="str">
        <x:v>Zaragoza</x:v>
      </x:c>
      <x:c r="M230" t="n">
        <x:f>IF(AND(B230&gt;=DATE(2026,7,1),B230&lt;=DATE(2026,9,30),G230&gt;=DATE(2026,7,1),G230&lt;=DATE(2026,9,30)),1,0)</x:f>
        <x:v>1</x:v>
      </x:c>
      <x:c r="N230" t="n">
        <x:f>IF(M230=1,IF(G230&lt;=F230,1,0),0)</x:f>
        <x:v>0</x:v>
      </x:c>
      <x:c r="O230" t="n">
        <x:f>IF(AND(M230=1,K230="Sí",G230&gt;F230),1,0)</x:f>
        <x:v>0</x:v>
      </x:c>
      <x:c r="P230" t="n">
        <x:f>IF(AND(M230=1,I230&gt;0),1,0)</x:f>
        <x:v>0</x:v>
      </x:c>
      <x:c r="Q230" t="n">
        <x:f>IF(AND(B230&gt;=DATE(2026,7,1),B230&lt;=DATE(2026,9,30),G230&gt;=DATE(2026,10,1),G230&lt;=DATE(2026,10,7)),1,0)</x:f>
        <x:v>0</x:v>
      </x:c>
      <x:c r="R230" t="n">
        <x:f>IF(AND(B230&gt;=DATE(2026,7,1),B230&lt;=DATE(2026,9,30),G230&gt;DATE(2026,10,7)),1,0)</x:f>
        <x:v>0</x:v>
      </x:c>
      <x:c r="S230" t="n">
        <x:f>IF(AND(M230=1,J230&lt;&gt;"Ninguna"),1,0)</x:f>
        <x:v>0</x:v>
      </x:c>
    </x:row>
    <x:row r="231">
      <x:c r="A231" t="str">
        <x:v>PED-0230</x:v>
      </x:c>
      <x:c r="B231" s="12" t="n">
        <x:v>46266</x:v>
      </x:c>
      <x:c r="C231" t="str">
        <x:v>PackPro</x:v>
      </x:c>
      <x:c r="D231" t="str">
        <x:v>Embalaje</x:v>
      </x:c>
      <x:c r="E231" s="10" t="n">
        <x:v>12969.95</x:v>
      </x:c>
      <x:c r="F231" s="12" t="n">
        <x:v>46273</x:v>
      </x:c>
      <x:c r="G231" s="12" t="n">
        <x:v>46272</x:v>
      </x:c>
      <x:c r="H231" t="n">
        <x:v>386</x:v>
      </x:c>
      <x:c r="I231" t="n">
        <x:v>0</x:v>
      </x:c>
      <x:c r="J231" t="str">
        <x:v>Daño transporte</x:v>
      </x:c>
      <x:c r="K231" t="str">
        <x:v>No</x:v>
      </x:c>
      <x:c r="L231" t="str">
        <x:v>Barcelona</x:v>
      </x:c>
      <x:c r="M231" t="n">
        <x:f>IF(AND(B231&gt;=DATE(2026,7,1),B231&lt;=DATE(2026,9,30),G231&gt;=DATE(2026,7,1),G231&lt;=DATE(2026,9,30)),1,0)</x:f>
        <x:v>1</x:v>
      </x:c>
      <x:c r="N231" t="n">
        <x:f>IF(M231=1,IF(G231&lt;=F231,1,0),0)</x:f>
        <x:v>1</x:v>
      </x:c>
      <x:c r="O231" t="n">
        <x:f>IF(AND(M231=1,K231="Sí",G231&gt;F231),1,0)</x:f>
        <x:v>0</x:v>
      </x:c>
      <x:c r="P231" t="n">
        <x:f>IF(AND(M231=1,I231&gt;0),1,0)</x:f>
        <x:v>0</x:v>
      </x:c>
      <x:c r="Q231" t="n">
        <x:f>IF(AND(B231&gt;=DATE(2026,7,1),B231&lt;=DATE(2026,9,30),G231&gt;=DATE(2026,10,1),G231&lt;=DATE(2026,10,7)),1,0)</x:f>
        <x:v>0</x:v>
      </x:c>
      <x:c r="R231" t="n">
        <x:f>IF(AND(B231&gt;=DATE(2026,7,1),B231&lt;=DATE(2026,9,30),G231&gt;DATE(2026,10,7)),1,0)</x:f>
        <x:v>0</x:v>
      </x:c>
      <x:c r="S231" t="n">
        <x:f>IF(AND(M231=1,J231&lt;&gt;"Ninguna"),1,0)</x:f>
        <x:v>1</x:v>
      </x:c>
    </x:row>
    <x:row r="232">
      <x:c r="A232" t="str">
        <x:v>PED-0231</x:v>
      </x:c>
      <x:c r="B232" s="12" t="n">
        <x:v>46207</x:v>
      </x:c>
      <x:c r="C232" t="str">
        <x:v>OfiPlus</x:v>
      </x:c>
      <x:c r="D232" t="str">
        <x:v>Consumibles</x:v>
      </x:c>
      <x:c r="E232" s="10" t="n">
        <x:v>4864.79</x:v>
      </x:c>
      <x:c r="F232" s="12" t="n">
        <x:v>46212</x:v>
      </x:c>
      <x:c r="G232" s="12" t="n">
        <x:v>46221</x:v>
      </x:c>
      <x:c r="H232" t="n">
        <x:v>127</x:v>
      </x:c>
      <x:c r="I232" t="n">
        <x:v>0</x:v>
      </x:c>
      <x:c r="J232" t="str">
        <x:v>Retraso</x:v>
      </x:c>
      <x:c r="K232" t="str">
        <x:v>No</x:v>
      </x:c>
      <x:c r="L232" t="str">
        <x:v>Zaragoza</x:v>
      </x:c>
      <x:c r="M232" t="n">
        <x:f>IF(AND(B232&gt;=DATE(2026,7,1),B232&lt;=DATE(2026,9,30),G232&gt;=DATE(2026,7,1),G232&lt;=DATE(2026,9,30)),1,0)</x:f>
        <x:v>1</x:v>
      </x:c>
      <x:c r="N232" t="n">
        <x:f>IF(M232=1,IF(G232&lt;=F232,1,0),0)</x:f>
        <x:v>0</x:v>
      </x:c>
      <x:c r="O232" t="n">
        <x:f>IF(AND(M232=1,K232="Sí",G232&gt;F232),1,0)</x:f>
        <x:v>0</x:v>
      </x:c>
      <x:c r="P232" t="n">
        <x:f>IF(AND(M232=1,I232&gt;0),1,0)</x:f>
        <x:v>0</x:v>
      </x:c>
      <x:c r="Q232" t="n">
        <x:f>IF(AND(B232&gt;=DATE(2026,7,1),B232&lt;=DATE(2026,9,30),G232&gt;=DATE(2026,10,1),G232&lt;=DATE(2026,10,7)),1,0)</x:f>
        <x:v>0</x:v>
      </x:c>
      <x:c r="R232" t="n">
        <x:f>IF(AND(B232&gt;=DATE(2026,7,1),B232&lt;=DATE(2026,9,30),G232&gt;DATE(2026,10,7)),1,0)</x:f>
        <x:v>0</x:v>
      </x:c>
      <x:c r="S232" t="n">
        <x:f>IF(AND(M232=1,J232&lt;&gt;"Ninguna"),1,0)</x:f>
        <x:v>1</x:v>
      </x:c>
    </x:row>
    <x:row r="233">
      <x:c r="A233" t="str">
        <x:v>PED-0232</x:v>
      </x:c>
      <x:c r="B233" s="12" t="n">
        <x:v>46268</x:v>
      </x:c>
      <x:c r="C233" t="str">
        <x:v>MecaParts</x:v>
      </x:c>
      <x:c r="D233" t="str">
        <x:v>Componentes mecánicos</x:v>
      </x:c>
      <x:c r="E233" s="10" t="n">
        <x:v>15130.04</x:v>
      </x:c>
      <x:c r="F233" s="12" t="n">
        <x:v>46279</x:v>
      </x:c>
      <x:c r="G233" s="12" t="n">
        <x:v>46281</x:v>
      </x:c>
      <x:c r="H233" t="n">
        <x:v>396</x:v>
      </x:c>
      <x:c r="I233" t="n">
        <x:v>0</x:v>
      </x:c>
      <x:c r="J233" t="str">
        <x:v>Ninguna</x:v>
      </x:c>
      <x:c r="K233" t="str">
        <x:v>Sí</x:v>
      </x:c>
      <x:c r="L233" t="str">
        <x:v>Barcelona</x:v>
      </x:c>
      <x:c r="M233" t="n">
        <x:f>IF(AND(B233&gt;=DATE(2026,7,1),B233&lt;=DATE(2026,9,30),G233&gt;=DATE(2026,7,1),G233&lt;=DATE(2026,9,30)),1,0)</x:f>
        <x:v>1</x:v>
      </x:c>
      <x:c r="N233" t="n">
        <x:f>IF(M233=1,IF(G233&lt;=F233,1,0),0)</x:f>
        <x:v>0</x:v>
      </x:c>
      <x:c r="O233" t="n">
        <x:f>IF(AND(M233=1,K233="Sí",G233&gt;F233),1,0)</x:f>
        <x:v>1</x:v>
      </x:c>
      <x:c r="P233" t="n">
        <x:f>IF(AND(M233=1,I233&gt;0),1,0)</x:f>
        <x:v>0</x:v>
      </x:c>
      <x:c r="Q233" t="n">
        <x:f>IF(AND(B233&gt;=DATE(2026,7,1),B233&lt;=DATE(2026,9,30),G233&gt;=DATE(2026,10,1),G233&lt;=DATE(2026,10,7)),1,0)</x:f>
        <x:v>0</x:v>
      </x:c>
      <x:c r="R233" t="n">
        <x:f>IF(AND(B233&gt;=DATE(2026,7,1),B233&lt;=DATE(2026,9,30),G233&gt;DATE(2026,10,7)),1,0)</x:f>
        <x:v>0</x:v>
      </x:c>
      <x:c r="S233" t="n">
        <x:f>IF(AND(M233=1,J233&lt;&gt;"Ninguna"),1,0)</x:f>
        <x:v>0</x:v>
      </x:c>
    </x:row>
    <x:row r="234">
      <x:c r="A234" t="str">
        <x:v>PED-0233</x:v>
      </x:c>
      <x:c r="B234" s="12" t="n">
        <x:v>46259</x:v>
      </x:c>
      <x:c r="C234" t="str">
        <x:v>PackPro</x:v>
      </x:c>
      <x:c r="D234" t="str">
        <x:v>Embalaje</x:v>
      </x:c>
      <x:c r="E234" s="10" t="n">
        <x:v>14642.88</x:v>
      </x:c>
      <x:c r="F234" s="12" t="n">
        <x:v>46264</x:v>
      </x:c>
      <x:c r="G234" s="12" t="n">
        <x:v>46265</x:v>
      </x:c>
      <x:c r="H234" t="n">
        <x:v>350</x:v>
      </x:c>
      <x:c r="I234" t="n">
        <x:v>0</x:v>
      </x:c>
      <x:c r="J234" t="str">
        <x:v>Ninguna</x:v>
      </x:c>
      <x:c r="K234" t="str">
        <x:v>No</x:v>
      </x:c>
      <x:c r="L234" t="str">
        <x:v>Barcelona</x:v>
      </x:c>
      <x:c r="M234" t="n">
        <x:f>IF(AND(B234&gt;=DATE(2026,7,1),B234&lt;=DATE(2026,9,30),G234&gt;=DATE(2026,7,1),G234&lt;=DATE(2026,9,30)),1,0)</x:f>
        <x:v>1</x:v>
      </x:c>
      <x:c r="N234" t="n">
        <x:f>IF(M234=1,IF(G234&lt;=F234,1,0),0)</x:f>
        <x:v>0</x:v>
      </x:c>
      <x:c r="O234" t="n">
        <x:f>IF(AND(M234=1,K234="Sí",G234&gt;F234),1,0)</x:f>
        <x:v>0</x:v>
      </x:c>
      <x:c r="P234" t="n">
        <x:f>IF(AND(M234=1,I234&gt;0),1,0)</x:f>
        <x:v>0</x:v>
      </x:c>
      <x:c r="Q234" t="n">
        <x:f>IF(AND(B234&gt;=DATE(2026,7,1),B234&lt;=DATE(2026,9,30),G234&gt;=DATE(2026,10,1),G234&lt;=DATE(2026,10,7)),1,0)</x:f>
        <x:v>0</x:v>
      </x:c>
      <x:c r="R234" t="n">
        <x:f>IF(AND(B234&gt;=DATE(2026,7,1),B234&lt;=DATE(2026,9,30),G234&gt;DATE(2026,10,7)),1,0)</x:f>
        <x:v>0</x:v>
      </x:c>
      <x:c r="S234" t="n">
        <x:f>IF(AND(M234=1,J234&lt;&gt;"Ninguna"),1,0)</x:f>
        <x:v>0</x:v>
      </x:c>
    </x:row>
    <x:row r="235">
      <x:c r="A235" t="str">
        <x:v>PED-0234</x:v>
      </x:c>
      <x:c r="B235" s="12" t="n">
        <x:v>46240</x:v>
      </x:c>
      <x:c r="C235" t="str">
        <x:v>PackPro</x:v>
      </x:c>
      <x:c r="D235" t="str">
        <x:v>Embalaje</x:v>
      </x:c>
      <x:c r="E235" s="10" t="n">
        <x:v>889.83</x:v>
      </x:c>
      <x:c r="F235" s="12" t="n">
        <x:v>46247</x:v>
      </x:c>
      <x:c r="G235" s="12" t="n">
        <x:v>46247</x:v>
      </x:c>
      <x:c r="H235" t="n">
        <x:v>104</x:v>
      </x:c>
      <x:c r="I235" t="n">
        <x:v>0</x:v>
      </x:c>
      <x:c r="J235" t="str">
        <x:v>Ninguna</x:v>
      </x:c>
      <x:c r="K235" t="str">
        <x:v>No</x:v>
      </x:c>
      <x:c r="L235" t="str">
        <x:v>Zaragoza</x:v>
      </x:c>
      <x:c r="M235" t="n">
        <x:f>IF(AND(B235&gt;=DATE(2026,7,1),B235&lt;=DATE(2026,9,30),G235&gt;=DATE(2026,7,1),G235&lt;=DATE(2026,9,30)),1,0)</x:f>
        <x:v>1</x:v>
      </x:c>
      <x:c r="N235" t="n">
        <x:f>IF(M235=1,IF(G235&lt;=F235,1,0),0)</x:f>
        <x:v>1</x:v>
      </x:c>
      <x:c r="O235" t="n">
        <x:f>IF(AND(M235=1,K235="Sí",G235&gt;F235),1,0)</x:f>
        <x:v>0</x:v>
      </x:c>
      <x:c r="P235" t="n">
        <x:f>IF(AND(M235=1,I235&gt;0),1,0)</x:f>
        <x:v>0</x:v>
      </x:c>
      <x:c r="Q235" t="n">
        <x:f>IF(AND(B235&gt;=DATE(2026,7,1),B235&lt;=DATE(2026,9,30),G235&gt;=DATE(2026,10,1),G235&lt;=DATE(2026,10,7)),1,0)</x:f>
        <x:v>0</x:v>
      </x:c>
      <x:c r="R235" t="n">
        <x:f>IF(AND(B235&gt;=DATE(2026,7,1),B235&lt;=DATE(2026,9,30),G235&gt;DATE(2026,10,7)),1,0)</x:f>
        <x:v>0</x:v>
      </x:c>
      <x:c r="S235" t="n">
        <x:f>IF(AND(M235=1,J235&lt;&gt;"Ninguna"),1,0)</x:f>
        <x:v>0</x:v>
      </x:c>
    </x:row>
    <x:row r="236">
      <x:c r="A236" t="str">
        <x:v>PED-0235</x:v>
      </x:c>
      <x:c r="B236" s="12" t="n">
        <x:v>46264</x:v>
      </x:c>
      <x:c r="C236" t="str">
        <x:v>MecaParts</x:v>
      </x:c>
      <x:c r="D236" t="str">
        <x:v>Componentes mecánicos</x:v>
      </x:c>
      <x:c r="E236" s="10" t="n">
        <x:v>11767.56</x:v>
      </x:c>
      <x:c r="F236" s="12" t="n">
        <x:v>46274</x:v>
      </x:c>
      <x:c r="G236" s="12" t="n">
        <x:v>46276</x:v>
      </x:c>
      <x:c r="H236" t="n">
        <x:v>243</x:v>
      </x:c>
      <x:c r="I236" t="n">
        <x:v>0</x:v>
      </x:c>
      <x:c r="J236" t="str">
        <x:v>Ninguna</x:v>
      </x:c>
      <x:c r="K236" t="str">
        <x:v>No</x:v>
      </x:c>
      <x:c r="L236" t="str">
        <x:v>Zaragoza</x:v>
      </x:c>
      <x:c r="M236" t="n">
        <x:f>IF(AND(B236&gt;=DATE(2026,7,1),B236&lt;=DATE(2026,9,30),G236&gt;=DATE(2026,7,1),G236&lt;=DATE(2026,9,30)),1,0)</x:f>
        <x:v>1</x:v>
      </x:c>
      <x:c r="N236" t="n">
        <x:f>IF(M236=1,IF(G236&lt;=F236,1,0),0)</x:f>
        <x:v>0</x:v>
      </x:c>
      <x:c r="O236" t="n">
        <x:f>IF(AND(M236=1,K236="Sí",G236&gt;F236),1,0)</x:f>
        <x:v>0</x:v>
      </x:c>
      <x:c r="P236" t="n">
        <x:f>IF(AND(M236=1,I236&gt;0),1,0)</x:f>
        <x:v>0</x:v>
      </x:c>
      <x:c r="Q236" t="n">
        <x:f>IF(AND(B236&gt;=DATE(2026,7,1),B236&lt;=DATE(2026,9,30),G236&gt;=DATE(2026,10,1),G236&lt;=DATE(2026,10,7)),1,0)</x:f>
        <x:v>0</x:v>
      </x:c>
      <x:c r="R236" t="n">
        <x:f>IF(AND(B236&gt;=DATE(2026,7,1),B236&lt;=DATE(2026,9,30),G236&gt;DATE(2026,10,7)),1,0)</x:f>
        <x:v>0</x:v>
      </x:c>
      <x:c r="S236" t="n">
        <x:f>IF(AND(M236=1,J236&lt;&gt;"Ninguna"),1,0)</x:f>
        <x:v>0</x:v>
      </x:c>
    </x:row>
    <x:row r="237">
      <x:c r="A237" t="str">
        <x:v>PED-0236</x:v>
      </x:c>
      <x:c r="B237" s="12" t="n">
        <x:v>46277</x:v>
      </x:c>
      <x:c r="C237" t="str">
        <x:v>ElectraSupply</x:v>
      </x:c>
      <x:c r="D237" t="str">
        <x:v>Componentes eléctricos</x:v>
      </x:c>
      <x:c r="E237" s="10" t="n">
        <x:v>1228.95</x:v>
      </x:c>
      <x:c r="F237" s="12" t="n">
        <x:v>46291</x:v>
      </x:c>
      <x:c r="G237" s="12" t="n">
        <x:v>46296</x:v>
      </x:c>
      <x:c r="H237" t="n">
        <x:v>91</x:v>
      </x:c>
      <x:c r="I237" t="n">
        <x:v>0</x:v>
      </x:c>
      <x:c r="J237" t="str">
        <x:v>Ninguna</x:v>
      </x:c>
      <x:c r="K237" t="str">
        <x:v>No</x:v>
      </x:c>
      <x:c r="L237" t="str">
        <x:v>Valencia</x:v>
      </x:c>
      <x:c r="M237" t="n">
        <x:f>IF(AND(B237&gt;=DATE(2026,7,1),B237&lt;=DATE(2026,9,30),G237&gt;=DATE(2026,7,1),G237&lt;=DATE(2026,9,30)),1,0)</x:f>
        <x:v>0</x:v>
      </x:c>
      <x:c r="N237" t="n">
        <x:f>IF(M237=1,IF(G237&lt;=F237,1,0),0)</x:f>
        <x:v>0</x:v>
      </x:c>
      <x:c r="O237" t="n">
        <x:f>IF(AND(M237=1,K237="Sí",G237&gt;F237),1,0)</x:f>
        <x:v>0</x:v>
      </x:c>
      <x:c r="P237" t="n">
        <x:f>IF(AND(M237=1,I237&gt;0),1,0)</x:f>
        <x:v>0</x:v>
      </x:c>
      <x:c r="Q237" t="n">
        <x:f>IF(AND(B237&gt;=DATE(2026,7,1),B237&lt;=DATE(2026,9,30),G237&gt;=DATE(2026,10,1),G237&lt;=DATE(2026,10,7)),1,0)</x:f>
        <x:v>1</x:v>
      </x:c>
      <x:c r="R237" t="n">
        <x:f>IF(AND(B237&gt;=DATE(2026,7,1),B237&lt;=DATE(2026,9,30),G237&gt;DATE(2026,10,7)),1,0)</x:f>
        <x:v>0</x:v>
      </x:c>
      <x:c r="S237" t="n">
        <x:f>IF(AND(M237=1,J237&lt;&gt;"Ninguna"),1,0)</x:f>
        <x:v>0</x:v>
      </x:c>
    </x:row>
    <x:row r="238">
      <x:c r="A238" t="str">
        <x:v>PED-0237</x:v>
      </x:c>
      <x:c r="B238" s="12" t="n">
        <x:v>46256</x:v>
      </x:c>
      <x:c r="C238" t="str">
        <x:v>MetalNova</x:v>
      </x:c>
      <x:c r="D238" t="str">
        <x:v>Componentes mecánicos</x:v>
      </x:c>
      <x:c r="E238" s="10" t="n">
        <x:v>12690.48</x:v>
      </x:c>
      <x:c r="F238" s="12" t="n">
        <x:v>46265</x:v>
      </x:c>
      <x:c r="G238" s="12" t="n">
        <x:v>46264</x:v>
      </x:c>
      <x:c r="H238" t="n">
        <x:v>364</x:v>
      </x:c>
      <x:c r="I238" t="n">
        <x:v>0</x:v>
      </x:c>
      <x:c r="J238" t="str">
        <x:v>Ninguna</x:v>
      </x:c>
      <x:c r="K238" t="str">
        <x:v>No</x:v>
      </x:c>
      <x:c r="L238" t="str">
        <x:v>Valencia</x:v>
      </x:c>
      <x:c r="M238" t="n">
        <x:f>IF(AND(B238&gt;=DATE(2026,7,1),B238&lt;=DATE(2026,9,30),G238&gt;=DATE(2026,7,1),G238&lt;=DATE(2026,9,30)),1,0)</x:f>
        <x:v>1</x:v>
      </x:c>
      <x:c r="N238" t="n">
        <x:f>IF(M238=1,IF(G238&lt;=F238,1,0),0)</x:f>
        <x:v>1</x:v>
      </x:c>
      <x:c r="O238" t="n">
        <x:f>IF(AND(M238=1,K238="Sí",G238&gt;F238),1,0)</x:f>
        <x:v>0</x:v>
      </x:c>
      <x:c r="P238" t="n">
        <x:f>IF(AND(M238=1,I238&gt;0),1,0)</x:f>
        <x:v>0</x:v>
      </x:c>
      <x:c r="Q238" t="n">
        <x:f>IF(AND(B238&gt;=DATE(2026,7,1),B238&lt;=DATE(2026,9,30),G238&gt;=DATE(2026,10,1),G238&lt;=DATE(2026,10,7)),1,0)</x:f>
        <x:v>0</x:v>
      </x:c>
      <x:c r="R238" t="n">
        <x:f>IF(AND(B238&gt;=DATE(2026,7,1),B238&lt;=DATE(2026,9,30),G238&gt;DATE(2026,10,7)),1,0)</x:f>
        <x:v>0</x:v>
      </x:c>
      <x:c r="S238" t="n">
        <x:f>IF(AND(M238=1,J238&lt;&gt;"Ninguna"),1,0)</x:f>
        <x:v>0</x:v>
      </x:c>
    </x:row>
    <x:row r="239">
      <x:c r="A239" t="str">
        <x:v>PED-0238</x:v>
      </x:c>
      <x:c r="B239" s="12" t="n">
        <x:v>46249</x:v>
      </x:c>
      <x:c r="C239" t="str">
        <x:v>MecaParts</x:v>
      </x:c>
      <x:c r="D239" t="str">
        <x:v>Componentes mecánicos</x:v>
      </x:c>
      <x:c r="E239" s="10" t="n">
        <x:v>715.22</x:v>
      </x:c>
      <x:c r="F239" s="12" t="n">
        <x:v>46258</x:v>
      </x:c>
      <x:c r="G239" s="12" t="n">
        <x:v>46257</x:v>
      </x:c>
      <x:c r="H239" t="n">
        <x:v>99</x:v>
      </x:c>
      <x:c r="I239" t="n">
        <x:v>0</x:v>
      </x:c>
      <x:c r="J239" t="str">
        <x:v>Cantidad incorrecta</x:v>
      </x:c>
      <x:c r="K239" t="str">
        <x:v>No</x:v>
      </x:c>
      <x:c r="L239" t="str">
        <x:v>Zaragoza</x:v>
      </x:c>
      <x:c r="M239" t="n">
        <x:f>IF(AND(B239&gt;=DATE(2026,7,1),B239&lt;=DATE(2026,9,30),G239&gt;=DATE(2026,7,1),G239&lt;=DATE(2026,9,30)),1,0)</x:f>
        <x:v>1</x:v>
      </x:c>
      <x:c r="N239" t="n">
        <x:f>IF(M239=1,IF(G239&lt;=F239,1,0),0)</x:f>
        <x:v>1</x:v>
      </x:c>
      <x:c r="O239" t="n">
        <x:f>IF(AND(M239=1,K239="Sí",G239&gt;F239),1,0)</x:f>
        <x:v>0</x:v>
      </x:c>
      <x:c r="P239" t="n">
        <x:f>IF(AND(M239=1,I239&gt;0),1,0)</x:f>
        <x:v>0</x:v>
      </x:c>
      <x:c r="Q239" t="n">
        <x:f>IF(AND(B239&gt;=DATE(2026,7,1),B239&lt;=DATE(2026,9,30),G239&gt;=DATE(2026,10,1),G239&lt;=DATE(2026,10,7)),1,0)</x:f>
        <x:v>0</x:v>
      </x:c>
      <x:c r="R239" t="n">
        <x:f>IF(AND(B239&gt;=DATE(2026,7,1),B239&lt;=DATE(2026,9,30),G239&gt;DATE(2026,10,7)),1,0)</x:f>
        <x:v>0</x:v>
      </x:c>
      <x:c r="S239" t="n">
        <x:f>IF(AND(M239=1,J239&lt;&gt;"Ninguna"),1,0)</x:f>
        <x:v>1</x:v>
      </x:c>
    </x:row>
    <x:row r="240">
      <x:c r="A240" t="str">
        <x:v>PED-0239</x:v>
      </x:c>
      <x:c r="B240" s="12" t="n">
        <x:v>46284</x:v>
      </x:c>
      <x:c r="C240" t="str">
        <x:v>MecaParts</x:v>
      </x:c>
      <x:c r="D240" t="str">
        <x:v>Componentes mecánicos</x:v>
      </x:c>
      <x:c r="E240" s="10" t="n">
        <x:v>1838.15</x:v>
      </x:c>
      <x:c r="F240" s="12" t="n">
        <x:v>46294</x:v>
      </x:c>
      <x:c r="G240" s="12" t="n">
        <x:v>46294</x:v>
      </x:c>
      <x:c r="H240" t="n">
        <x:v>307</x:v>
      </x:c>
      <x:c r="I240" t="n">
        <x:v>0</x:v>
      </x:c>
      <x:c r="J240" t="str">
        <x:v>Ninguna</x:v>
      </x:c>
      <x:c r="K240" t="str">
        <x:v>No</x:v>
      </x:c>
      <x:c r="L240" t="str">
        <x:v>Valencia</x:v>
      </x:c>
      <x:c r="M240" t="n">
        <x:f>IF(AND(B240&gt;=DATE(2026,7,1),B240&lt;=DATE(2026,9,30),G240&gt;=DATE(2026,7,1),G240&lt;=DATE(2026,9,30)),1,0)</x:f>
        <x:v>1</x:v>
      </x:c>
      <x:c r="N240" t="n">
        <x:f>IF(M240=1,IF(G240&lt;=F240,1,0),0)</x:f>
        <x:v>1</x:v>
      </x:c>
      <x:c r="O240" t="n">
        <x:f>IF(AND(M240=1,K240="Sí",G240&gt;F240),1,0)</x:f>
        <x:v>0</x:v>
      </x:c>
      <x:c r="P240" t="n">
        <x:f>IF(AND(M240=1,I240&gt;0),1,0)</x:f>
        <x:v>0</x:v>
      </x:c>
      <x:c r="Q240" t="n">
        <x:f>IF(AND(B240&gt;=DATE(2026,7,1),B240&lt;=DATE(2026,9,30),G240&gt;=DATE(2026,10,1),G240&lt;=DATE(2026,10,7)),1,0)</x:f>
        <x:v>0</x:v>
      </x:c>
      <x:c r="R240" t="n">
        <x:f>IF(AND(B240&gt;=DATE(2026,7,1),B240&lt;=DATE(2026,9,30),G240&gt;DATE(2026,10,7)),1,0)</x:f>
        <x:v>0</x:v>
      </x:c>
      <x:c r="S240" t="n">
        <x:f>IF(AND(M240=1,J240&lt;&gt;"Ninguna"),1,0)</x:f>
        <x:v>0</x:v>
      </x:c>
    </x:row>
    <x:row r="241">
      <x:c r="A241" t="str">
        <x:v>PED-0240</x:v>
      </x:c>
      <x:c r="B241" s="12" t="n">
        <x:v>46224</x:v>
      </x:c>
      <x:c r="C241" t="str">
        <x:v>OfiPlus</x:v>
      </x:c>
      <x:c r="D241" t="str">
        <x:v>Consumibles</x:v>
      </x:c>
      <x:c r="E241" s="10" t="n">
        <x:v>7061.81</x:v>
      </x:c>
      <x:c r="F241" s="12" t="n">
        <x:v>46230</x:v>
      </x:c>
      <x:c r="G241" s="12" t="n">
        <x:v>46230</x:v>
      </x:c>
      <x:c r="H241" t="n">
        <x:v>140</x:v>
      </x:c>
      <x:c r="I241" t="n">
        <x:v>0</x:v>
      </x:c>
      <x:c r="J241" t="str">
        <x:v>Ninguna</x:v>
      </x:c>
      <x:c r="K241" t="str">
        <x:v>No</x:v>
      </x:c>
      <x:c r="L241" t="str">
        <x:v>Barcelona</x:v>
      </x:c>
      <x:c r="M241" t="n">
        <x:f>IF(AND(B241&gt;=DATE(2026,7,1),B241&lt;=DATE(2026,9,30),G241&gt;=DATE(2026,7,1),G241&lt;=DATE(2026,9,30)),1,0)</x:f>
        <x:v>1</x:v>
      </x:c>
      <x:c r="N241" t="n">
        <x:f>IF(M241=1,IF(G241&lt;=F241,1,0),0)</x:f>
        <x:v>1</x:v>
      </x:c>
      <x:c r="O241" t="n">
        <x:f>IF(AND(M241=1,K241="Sí",G241&gt;F241),1,0)</x:f>
        <x:v>0</x:v>
      </x:c>
      <x:c r="P241" t="n">
        <x:f>IF(AND(M241=1,I241&gt;0),1,0)</x:f>
        <x:v>0</x:v>
      </x:c>
      <x:c r="Q241" t="n">
        <x:f>IF(AND(B241&gt;=DATE(2026,7,1),B241&lt;=DATE(2026,9,30),G241&gt;=DATE(2026,10,1),G241&lt;=DATE(2026,10,7)),1,0)</x:f>
        <x:v>0</x:v>
      </x:c>
      <x:c r="R241" t="n">
        <x:f>IF(AND(B241&gt;=DATE(2026,7,1),B241&lt;=DATE(2026,9,30),G241&gt;DATE(2026,10,7)),1,0)</x:f>
        <x:v>0</x:v>
      </x:c>
      <x:c r="S241" t="n">
        <x:f>IF(AND(M241=1,J241&lt;&gt;"Ninguna"),1,0)</x:f>
        <x:v>0</x:v>
      </x:c>
    </x:row>
    <x:row r="242">
      <x:c r="A242" t="str">
        <x:v>PED-0241</x:v>
      </x:c>
      <x:c r="B242" s="12" t="n">
        <x:v>46229</x:v>
      </x:c>
      <x:c r="C242" t="str">
        <x:v>OfiPlus</x:v>
      </x:c>
      <x:c r="D242" t="str">
        <x:v>Consumibles</x:v>
      </x:c>
      <x:c r="E242" s="10" t="n">
        <x:v>5888.74</x:v>
      </x:c>
      <x:c r="F242" s="12" t="n">
        <x:v>46234</x:v>
      </x:c>
      <x:c r="G242" s="12" t="n">
        <x:v>46235</x:v>
      </x:c>
      <x:c r="H242" t="n">
        <x:v>310</x:v>
      </x:c>
      <x:c r="I242" t="n">
        <x:v>0</x:v>
      </x:c>
      <x:c r="J242" t="str">
        <x:v>Retraso</x:v>
      </x:c>
      <x:c r="K242" t="str">
        <x:v>Sí</x:v>
      </x:c>
      <x:c r="L242" t="str">
        <x:v>Zaragoza</x:v>
      </x:c>
      <x:c r="M242" t="n">
        <x:f>IF(AND(B242&gt;=DATE(2026,7,1),B242&lt;=DATE(2026,9,30),G242&gt;=DATE(2026,7,1),G242&lt;=DATE(2026,9,30)),1,0)</x:f>
        <x:v>1</x:v>
      </x:c>
      <x:c r="N242" t="n">
        <x:f>IF(M242=1,IF(G242&lt;=F242,1,0),0)</x:f>
        <x:v>0</x:v>
      </x:c>
      <x:c r="O242" t="n">
        <x:f>IF(AND(M242=1,K242="Sí",G242&gt;F242),1,0)</x:f>
        <x:v>1</x:v>
      </x:c>
      <x:c r="P242" t="n">
        <x:f>IF(AND(M242=1,I242&gt;0),1,0)</x:f>
        <x:v>0</x:v>
      </x:c>
      <x:c r="Q242" t="n">
        <x:f>IF(AND(B242&gt;=DATE(2026,7,1),B242&lt;=DATE(2026,9,30),G242&gt;=DATE(2026,10,1),G242&lt;=DATE(2026,10,7)),1,0)</x:f>
        <x:v>0</x:v>
      </x:c>
      <x:c r="R242" t="n">
        <x:f>IF(AND(B242&gt;=DATE(2026,7,1),B242&lt;=DATE(2026,9,30),G242&gt;DATE(2026,10,7)),1,0)</x:f>
        <x:v>0</x:v>
      </x:c>
      <x:c r="S242" t="n">
        <x:f>IF(AND(M242=1,J242&lt;&gt;"Ninguna"),1,0)</x:f>
        <x:v>1</x:v>
      </x:c>
    </x:row>
    <x:row r="243">
      <x:c r="A243" t="str">
        <x:v>PED-0242</x:v>
      </x:c>
      <x:c r="B243" s="12" t="n">
        <x:v>46264</x:v>
      </x:c>
      <x:c r="C243" t="str">
        <x:v>PackPro</x:v>
      </x:c>
      <x:c r="D243" t="str">
        <x:v>Embalaje</x:v>
      </x:c>
      <x:c r="E243" s="10" t="n">
        <x:v>3495.4</x:v>
      </x:c>
      <x:c r="F243" s="12" t="n">
        <x:v>46270</x:v>
      </x:c>
      <x:c r="G243" s="12" t="n">
        <x:v>46272</x:v>
      </x:c>
      <x:c r="H243" t="n">
        <x:v>119</x:v>
      </x:c>
      <x:c r="I243" t="n">
        <x:v>0</x:v>
      </x:c>
      <x:c r="J243" t="str">
        <x:v>Ninguna</x:v>
      </x:c>
      <x:c r="K243" t="str">
        <x:v>No</x:v>
      </x:c>
      <x:c r="L243" t="str">
        <x:v>Barcelona</x:v>
      </x:c>
      <x:c r="M243" t="n">
        <x:f>IF(AND(B243&gt;=DATE(2026,7,1),B243&lt;=DATE(2026,9,30),G243&gt;=DATE(2026,7,1),G243&lt;=DATE(2026,9,30)),1,0)</x:f>
        <x:v>1</x:v>
      </x:c>
      <x:c r="N243" t="n">
        <x:f>IF(M243=1,IF(G243&lt;=F243,1,0),0)</x:f>
        <x:v>0</x:v>
      </x:c>
      <x:c r="O243" t="n">
        <x:f>IF(AND(M243=1,K243="Sí",G243&gt;F243),1,0)</x:f>
        <x:v>0</x:v>
      </x:c>
      <x:c r="P243" t="n">
        <x:f>IF(AND(M243=1,I243&gt;0),1,0)</x:f>
        <x:v>0</x:v>
      </x:c>
      <x:c r="Q243" t="n">
        <x:f>IF(AND(B243&gt;=DATE(2026,7,1),B243&lt;=DATE(2026,9,30),G243&gt;=DATE(2026,10,1),G243&lt;=DATE(2026,10,7)),1,0)</x:f>
        <x:v>0</x:v>
      </x:c>
      <x:c r="R243" t="n">
        <x:f>IF(AND(B243&gt;=DATE(2026,7,1),B243&lt;=DATE(2026,9,30),G243&gt;DATE(2026,10,7)),1,0)</x:f>
        <x:v>0</x:v>
      </x:c>
      <x:c r="S243" t="n">
        <x:f>IF(AND(M243=1,J243&lt;&gt;"Ninguna"),1,0)</x:f>
        <x:v>0</x:v>
      </x:c>
    </x:row>
    <x:row r="244">
      <x:c r="A244" t="str">
        <x:v>PED-0243</x:v>
      </x:c>
      <x:c r="B244" s="12" t="n">
        <x:v>46255</x:v>
      </x:c>
      <x:c r="C244" t="str">
        <x:v>PackPro</x:v>
      </x:c>
      <x:c r="D244" t="str">
        <x:v>Embalaje</x:v>
      </x:c>
      <x:c r="E244" s="10" t="n">
        <x:v>1880.33</x:v>
      </x:c>
      <x:c r="F244" s="12" t="n">
        <x:v>46262</x:v>
      </x:c>
      <x:c r="G244" s="12" t="n">
        <x:v>46266</x:v>
      </x:c>
      <x:c r="H244" t="n">
        <x:v>109</x:v>
      </x:c>
      <x:c r="I244" t="n">
        <x:v>0</x:v>
      </x:c>
      <x:c r="J244" t="str">
        <x:v>Retraso</x:v>
      </x:c>
      <x:c r="K244" t="str">
        <x:v>No</x:v>
      </x:c>
      <x:c r="L244" t="str">
        <x:v>Zaragoza</x:v>
      </x:c>
      <x:c r="M244" t="n">
        <x:f>IF(AND(B244&gt;=DATE(2026,7,1),B244&lt;=DATE(2026,9,30),G244&gt;=DATE(2026,7,1),G244&lt;=DATE(2026,9,30)),1,0)</x:f>
        <x:v>1</x:v>
      </x:c>
      <x:c r="N244" t="n">
        <x:f>IF(M244=1,IF(G244&lt;=F244,1,0),0)</x:f>
        <x:v>0</x:v>
      </x:c>
      <x:c r="O244" t="n">
        <x:f>IF(AND(M244=1,K244="Sí",G244&gt;F244),1,0)</x:f>
        <x:v>0</x:v>
      </x:c>
      <x:c r="P244" t="n">
        <x:f>IF(AND(M244=1,I244&gt;0),1,0)</x:f>
        <x:v>0</x:v>
      </x:c>
      <x:c r="Q244" t="n">
        <x:f>IF(AND(B244&gt;=DATE(2026,7,1),B244&lt;=DATE(2026,9,30),G244&gt;=DATE(2026,10,1),G244&lt;=DATE(2026,10,7)),1,0)</x:f>
        <x:v>0</x:v>
      </x:c>
      <x:c r="R244" t="n">
        <x:f>IF(AND(B244&gt;=DATE(2026,7,1),B244&lt;=DATE(2026,9,30),G244&gt;DATE(2026,10,7)),1,0)</x:f>
        <x:v>0</x:v>
      </x:c>
      <x:c r="S244" t="n">
        <x:f>IF(AND(M244=1,J244&lt;&gt;"Ninguna"),1,0)</x:f>
        <x:v>1</x:v>
      </x:c>
    </x:row>
    <x:row r="245">
      <x:c r="A245" t="str">
        <x:v>PED-0244</x:v>
      </x:c>
      <x:c r="B245" s="12" t="n">
        <x:v>46289</x:v>
      </x:c>
      <x:c r="C245" t="str">
        <x:v>ElectraSupply</x:v>
      </x:c>
      <x:c r="D245" t="str">
        <x:v>Componentes eléctricos</x:v>
      </x:c>
      <x:c r="E245" s="10" t="n">
        <x:v>5774</x:v>
      </x:c>
      <x:c r="F245" s="12" t="n">
        <x:v>46303</x:v>
      </x:c>
      <x:c r="G245" s="12" t="n">
        <x:v>46309</x:v>
      </x:c>
      <x:c r="H245" t="n">
        <x:v>267</x:v>
      </x:c>
      <x:c r="I245" t="n">
        <x:v>0</x:v>
      </x:c>
      <x:c r="J245" t="str">
        <x:v>Ninguna</x:v>
      </x:c>
      <x:c r="K245" t="str">
        <x:v>No</x:v>
      </x:c>
      <x:c r="L245" t="str">
        <x:v>Zaragoza</x:v>
      </x:c>
      <x:c r="M245" t="n">
        <x:f>IF(AND(B245&gt;=DATE(2026,7,1),B245&lt;=DATE(2026,9,30),G245&gt;=DATE(2026,7,1),G245&lt;=DATE(2026,9,30)),1,0)</x:f>
        <x:v>0</x:v>
      </x:c>
      <x:c r="N245" t="n">
        <x:f>IF(M245=1,IF(G245&lt;=F245,1,0),0)</x:f>
        <x:v>0</x:v>
      </x:c>
      <x:c r="O245" t="n">
        <x:f>IF(AND(M245=1,K245="Sí",G245&gt;F245),1,0)</x:f>
        <x:v>0</x:v>
      </x:c>
      <x:c r="P245" t="n">
        <x:f>IF(AND(M245=1,I245&gt;0),1,0)</x:f>
        <x:v>0</x:v>
      </x:c>
      <x:c r="Q245" t="n">
        <x:f>IF(AND(B245&gt;=DATE(2026,7,1),B245&lt;=DATE(2026,9,30),G245&gt;=DATE(2026,10,1),G245&lt;=DATE(2026,10,7)),1,0)</x:f>
        <x:v>0</x:v>
      </x:c>
      <x:c r="R245" t="n">
        <x:f>IF(AND(B245&gt;=DATE(2026,7,1),B245&lt;=DATE(2026,9,30),G245&gt;DATE(2026,10,7)),1,0)</x:f>
        <x:v>1</x:v>
      </x:c>
      <x:c r="S245" t="n">
        <x:f>IF(AND(M245=1,J245&lt;&gt;"Ninguna"),1,0)</x:f>
        <x:v>0</x:v>
      </x:c>
    </x:row>
    <x:row r="246">
      <x:c r="A246" t="str">
        <x:v>PED-0245</x:v>
      </x:c>
      <x:c r="B246" s="12" t="n">
        <x:v>46224</x:v>
      </x:c>
      <x:c r="C246" t="str">
        <x:v>MetalNova</x:v>
      </x:c>
      <x:c r="D246" t="str">
        <x:v>Materia prima</x:v>
      </x:c>
      <x:c r="E246" s="10" t="n">
        <x:v>4092.7</x:v>
      </x:c>
      <x:c r="F246" s="12" t="n">
        <x:v>46236</x:v>
      </x:c>
      <x:c r="G246" s="12" t="n">
        <x:v>46239</x:v>
      </x:c>
      <x:c r="H246" t="n">
        <x:v>91</x:v>
      </x:c>
      <x:c r="I246" t="n">
        <x:v>3</x:v>
      </x:c>
      <x:c r="J246" t="str">
        <x:v>Retraso</x:v>
      </x:c>
      <x:c r="K246" t="str">
        <x:v>Sí</x:v>
      </x:c>
      <x:c r="L246" t="str">
        <x:v>Barcelona</x:v>
      </x:c>
      <x:c r="M246" t="n">
        <x:f>IF(AND(B246&gt;=DATE(2026,7,1),B246&lt;=DATE(2026,9,30),G246&gt;=DATE(2026,7,1),G246&lt;=DATE(2026,9,30)),1,0)</x:f>
        <x:v>1</x:v>
      </x:c>
      <x:c r="N246" t="n">
        <x:f>IF(M246=1,IF(G246&lt;=F246,1,0),0)</x:f>
        <x:v>0</x:v>
      </x:c>
      <x:c r="O246" t="n">
        <x:f>IF(AND(M246=1,K246="Sí",G246&gt;F246),1,0)</x:f>
        <x:v>1</x:v>
      </x:c>
      <x:c r="P246" t="n">
        <x:f>IF(AND(M246=1,I246&gt;0),1,0)</x:f>
        <x:v>1</x:v>
      </x:c>
      <x:c r="Q246" t="n">
        <x:f>IF(AND(B246&gt;=DATE(2026,7,1),B246&lt;=DATE(2026,9,30),G246&gt;=DATE(2026,10,1),G246&lt;=DATE(2026,10,7)),1,0)</x:f>
        <x:v>0</x:v>
      </x:c>
      <x:c r="R246" t="n">
        <x:f>IF(AND(B246&gt;=DATE(2026,7,1),B246&lt;=DATE(2026,9,30),G246&gt;DATE(2026,10,7)),1,0)</x:f>
        <x:v>0</x:v>
      </x:c>
      <x:c r="S246" t="n">
        <x:f>IF(AND(M246=1,J246&lt;&gt;"Ninguna"),1,0)</x:f>
        <x:v>1</x:v>
      </x:c>
    </x:row>
    <x:row r="247">
      <x:c r="A247" t="str">
        <x:v>PED-0246</x:v>
      </x:c>
      <x:c r="B247" s="12" t="n">
        <x:v>46208</x:v>
      </x:c>
      <x:c r="C247" t="str">
        <x:v>ElectraSupply</x:v>
      </x:c>
      <x:c r="D247" t="str">
        <x:v>Componentes eléctricos</x:v>
      </x:c>
      <x:c r="E247" s="10" t="n">
        <x:v>12801.73</x:v>
      </x:c>
      <x:c r="F247" s="12" t="n">
        <x:v>46219</x:v>
      </x:c>
      <x:c r="G247" s="12" t="n">
        <x:v>46219</x:v>
      </x:c>
      <x:c r="H247" t="n">
        <x:v>267</x:v>
      </x:c>
      <x:c r="I247" t="n">
        <x:v>0</x:v>
      </x:c>
      <x:c r="J247" t="str">
        <x:v>Ninguna</x:v>
      </x:c>
      <x:c r="K247" t="str">
        <x:v>No</x:v>
      </x:c>
      <x:c r="L247" t="str">
        <x:v>Zaragoza</x:v>
      </x:c>
      <x:c r="M247" t="n">
        <x:f>IF(AND(B247&gt;=DATE(2026,7,1),B247&lt;=DATE(2026,9,30),G247&gt;=DATE(2026,7,1),G247&lt;=DATE(2026,9,30)),1,0)</x:f>
        <x:v>1</x:v>
      </x:c>
      <x:c r="N247" t="n">
        <x:f>IF(M247=1,IF(G247&lt;=F247,1,0),0)</x:f>
        <x:v>1</x:v>
      </x:c>
      <x:c r="O247" t="n">
        <x:f>IF(AND(M247=1,K247="Sí",G247&gt;F247),1,0)</x:f>
        <x:v>0</x:v>
      </x:c>
      <x:c r="P247" t="n">
        <x:f>IF(AND(M247=1,I247&gt;0),1,0)</x:f>
        <x:v>0</x:v>
      </x:c>
      <x:c r="Q247" t="n">
        <x:f>IF(AND(B247&gt;=DATE(2026,7,1),B247&lt;=DATE(2026,9,30),G247&gt;=DATE(2026,10,1),G247&lt;=DATE(2026,10,7)),1,0)</x:f>
        <x:v>0</x:v>
      </x:c>
      <x:c r="R247" t="n">
        <x:f>IF(AND(B247&gt;=DATE(2026,7,1),B247&lt;=DATE(2026,9,30),G247&gt;DATE(2026,10,7)),1,0)</x:f>
        <x:v>0</x:v>
      </x:c>
      <x:c r="S247" t="n">
        <x:f>IF(AND(M247=1,J247&lt;&gt;"Ninguna"),1,0)</x:f>
        <x:v>0</x:v>
      </x:c>
    </x:row>
    <x:row r="248">
      <x:c r="A248" t="str">
        <x:v>PED-0247</x:v>
      </x:c>
      <x:c r="B248" s="12" t="n">
        <x:v>46245</x:v>
      </x:c>
      <x:c r="C248" t="str">
        <x:v>PackPro</x:v>
      </x:c>
      <x:c r="D248" t="str">
        <x:v>Embalaje</x:v>
      </x:c>
      <x:c r="E248" s="10" t="n">
        <x:v>1257.53</x:v>
      </x:c>
      <x:c r="F248" s="12" t="n">
        <x:v>46252</x:v>
      </x:c>
      <x:c r="G248" s="12" t="n">
        <x:v>46250</x:v>
      </x:c>
      <x:c r="H248" t="n">
        <x:v>63</x:v>
      </x:c>
      <x:c r="I248" t="n">
        <x:v>0</x:v>
      </x:c>
      <x:c r="J248" t="str">
        <x:v>Ninguna</x:v>
      </x:c>
      <x:c r="K248" t="str">
        <x:v>No</x:v>
      </x:c>
      <x:c r="L248" t="str">
        <x:v>Valencia</x:v>
      </x:c>
      <x:c r="M248" t="n">
        <x:f>IF(AND(B248&gt;=DATE(2026,7,1),B248&lt;=DATE(2026,9,30),G248&gt;=DATE(2026,7,1),G248&lt;=DATE(2026,9,30)),1,0)</x:f>
        <x:v>1</x:v>
      </x:c>
      <x:c r="N248" t="n">
        <x:f>IF(M248=1,IF(G248&lt;=F248,1,0),0)</x:f>
        <x:v>1</x:v>
      </x:c>
      <x:c r="O248" t="n">
        <x:f>IF(AND(M248=1,K248="Sí",G248&gt;F248),1,0)</x:f>
        <x:v>0</x:v>
      </x:c>
      <x:c r="P248" t="n">
        <x:f>IF(AND(M248=1,I248&gt;0),1,0)</x:f>
        <x:v>0</x:v>
      </x:c>
      <x:c r="Q248" t="n">
        <x:f>IF(AND(B248&gt;=DATE(2026,7,1),B248&lt;=DATE(2026,9,30),G248&gt;=DATE(2026,10,1),G248&lt;=DATE(2026,10,7)),1,0)</x:f>
        <x:v>0</x:v>
      </x:c>
      <x:c r="R248" t="n">
        <x:f>IF(AND(B248&gt;=DATE(2026,7,1),B248&lt;=DATE(2026,9,30),G248&gt;DATE(2026,10,7)),1,0)</x:f>
        <x:v>0</x:v>
      </x:c>
      <x:c r="S248" t="n">
        <x:f>IF(AND(M248=1,J248&lt;&gt;"Ninguna"),1,0)</x:f>
        <x:v>0</x:v>
      </x:c>
    </x:row>
    <x:row r="249">
      <x:c r="A249" t="str">
        <x:v>PED-0248</x:v>
      </x:c>
      <x:c r="B249" s="12" t="n">
        <x:v>46241</x:v>
      </x:c>
      <x:c r="C249" t="str">
        <x:v>ElectraSupply</x:v>
      </x:c>
      <x:c r="D249" t="str">
        <x:v>Componentes eléctricos</x:v>
      </x:c>
      <x:c r="E249" s="10" t="n">
        <x:v>8488.3</x:v>
      </x:c>
      <x:c r="F249" s="12" t="n">
        <x:v>46252</x:v>
      </x:c>
      <x:c r="G249" s="12" t="n">
        <x:v>46257</x:v>
      </x:c>
      <x:c r="H249" t="n">
        <x:v>172</x:v>
      </x:c>
      <x:c r="I249" t="n">
        <x:v>0</x:v>
      </x:c>
      <x:c r="J249" t="str">
        <x:v>Cantidad incorrecta</x:v>
      </x:c>
      <x:c r="K249" t="str">
        <x:v>No</x:v>
      </x:c>
      <x:c r="L249" t="str">
        <x:v>Barcelona</x:v>
      </x:c>
      <x:c r="M249" t="n">
        <x:f>IF(AND(B249&gt;=DATE(2026,7,1),B249&lt;=DATE(2026,9,30),G249&gt;=DATE(2026,7,1),G249&lt;=DATE(2026,9,30)),1,0)</x:f>
        <x:v>1</x:v>
      </x:c>
      <x:c r="N249" t="n">
        <x:f>IF(M249=1,IF(G249&lt;=F249,1,0),0)</x:f>
        <x:v>0</x:v>
      </x:c>
      <x:c r="O249" t="n">
        <x:f>IF(AND(M249=1,K249="Sí",G249&gt;F249),1,0)</x:f>
        <x:v>0</x:v>
      </x:c>
      <x:c r="P249" t="n">
        <x:f>IF(AND(M249=1,I249&gt;0),1,0)</x:f>
        <x:v>0</x:v>
      </x:c>
      <x:c r="Q249" t="n">
        <x:f>IF(AND(B249&gt;=DATE(2026,7,1),B249&lt;=DATE(2026,9,30),G249&gt;=DATE(2026,10,1),G249&lt;=DATE(2026,10,7)),1,0)</x:f>
        <x:v>0</x:v>
      </x:c>
      <x:c r="R249" t="n">
        <x:f>IF(AND(B249&gt;=DATE(2026,7,1),B249&lt;=DATE(2026,9,30),G249&gt;DATE(2026,10,7)),1,0)</x:f>
        <x:v>0</x:v>
      </x:c>
      <x:c r="S249" t="n">
        <x:f>IF(AND(M249=1,J249&lt;&gt;"Ninguna"),1,0)</x:f>
        <x:v>1</x:v>
      </x:c>
    </x:row>
    <x:row r="250">
      <x:c r="A250" t="str">
        <x:v>PED-0249</x:v>
      </x:c>
      <x:c r="B250" s="12" t="n">
        <x:v>46236</x:v>
      </x:c>
      <x:c r="C250" t="str">
        <x:v>OfiPlus</x:v>
      </x:c>
      <x:c r="D250" t="str">
        <x:v>Consumibles</x:v>
      </x:c>
      <x:c r="E250" s="10" t="n">
        <x:v>1791.49</x:v>
      </x:c>
      <x:c r="F250" s="12" t="n">
        <x:v>46242</x:v>
      </x:c>
      <x:c r="G250" s="12" t="n">
        <x:v>46243</x:v>
      </x:c>
      <x:c r="H250" t="n">
        <x:v>302</x:v>
      </x:c>
      <x:c r="I250" t="n">
        <x:v>0</x:v>
      </x:c>
      <x:c r="J250" t="str">
        <x:v>Ninguna</x:v>
      </x:c>
      <x:c r="K250" t="str">
        <x:v>No</x:v>
      </x:c>
      <x:c r="L250" t="str">
        <x:v>Barcelona</x:v>
      </x:c>
      <x:c r="M250" t="n">
        <x:f>IF(AND(B250&gt;=DATE(2026,7,1),B250&lt;=DATE(2026,9,30),G250&gt;=DATE(2026,7,1),G250&lt;=DATE(2026,9,30)),1,0)</x:f>
        <x:v>1</x:v>
      </x:c>
      <x:c r="N250" t="n">
        <x:f>IF(M250=1,IF(G250&lt;=F250,1,0),0)</x:f>
        <x:v>0</x:v>
      </x:c>
      <x:c r="O250" t="n">
        <x:f>IF(AND(M250=1,K250="Sí",G250&gt;F250),1,0)</x:f>
        <x:v>0</x:v>
      </x:c>
      <x:c r="P250" t="n">
        <x:f>IF(AND(M250=1,I250&gt;0),1,0)</x:f>
        <x:v>0</x:v>
      </x:c>
      <x:c r="Q250" t="n">
        <x:f>IF(AND(B250&gt;=DATE(2026,7,1),B250&lt;=DATE(2026,9,30),G250&gt;=DATE(2026,10,1),G250&lt;=DATE(2026,10,7)),1,0)</x:f>
        <x:v>0</x:v>
      </x:c>
      <x:c r="R250" t="n">
        <x:f>IF(AND(B250&gt;=DATE(2026,7,1),B250&lt;=DATE(2026,9,30),G250&gt;DATE(2026,10,7)),1,0)</x:f>
        <x:v>0</x:v>
      </x:c>
      <x:c r="S250" t="n">
        <x:f>IF(AND(M250=1,J250&lt;&gt;"Ninguna"),1,0)</x:f>
        <x:v>0</x:v>
      </x:c>
    </x:row>
    <x:row r="251">
      <x:c r="A251" t="str">
        <x:v>PED-0250</x:v>
      </x:c>
      <x:c r="B251" s="12" t="n">
        <x:v>46220</x:v>
      </x:c>
      <x:c r="C251" t="str">
        <x:v>ElectraSupply</x:v>
      </x:c>
      <x:c r="D251" t="str">
        <x:v>Componentes eléctricos</x:v>
      </x:c>
      <x:c r="E251" s="10" t="n">
        <x:v>6557.33</x:v>
      </x:c>
      <x:c r="F251" s="12" t="n">
        <x:v>46232</x:v>
      </x:c>
      <x:c r="G251" s="12" t="n">
        <x:v>46244</x:v>
      </x:c>
      <x:c r="H251" t="n">
        <x:v>298</x:v>
      </x:c>
      <x:c r="I251" t="n">
        <x:v>0</x:v>
      </x:c>
      <x:c r="J251" t="str">
        <x:v>Retraso</x:v>
      </x:c>
      <x:c r="K251" t="str">
        <x:v>No</x:v>
      </x:c>
      <x:c r="L251" t="str">
        <x:v>Barcelona</x:v>
      </x:c>
      <x:c r="M251" t="n">
        <x:f>IF(AND(B251&gt;=DATE(2026,7,1),B251&lt;=DATE(2026,9,30),G251&gt;=DATE(2026,7,1),G251&lt;=DATE(2026,9,30)),1,0)</x:f>
        <x:v>1</x:v>
      </x:c>
      <x:c r="N251" t="n">
        <x:f>IF(M251=1,IF(G251&lt;=F251,1,0),0)</x:f>
        <x:v>0</x:v>
      </x:c>
      <x:c r="O251" t="n">
        <x:f>IF(AND(M251=1,K251="Sí",G251&gt;F251),1,0)</x:f>
        <x:v>0</x:v>
      </x:c>
      <x:c r="P251" t="n">
        <x:f>IF(AND(M251=1,I251&gt;0),1,0)</x:f>
        <x:v>0</x:v>
      </x:c>
      <x:c r="Q251" t="n">
        <x:f>IF(AND(B251&gt;=DATE(2026,7,1),B251&lt;=DATE(2026,9,30),G251&gt;=DATE(2026,10,1),G251&lt;=DATE(2026,10,7)),1,0)</x:f>
        <x:v>0</x:v>
      </x:c>
      <x:c r="R251" t="n">
        <x:f>IF(AND(B251&gt;=DATE(2026,7,1),B251&lt;=DATE(2026,9,30),G251&gt;DATE(2026,10,7)),1,0)</x:f>
        <x:v>0</x:v>
      </x:c>
      <x:c r="S251" t="n">
        <x:f>IF(AND(M251=1,J251&lt;&gt;"Ninguna"),1,0)</x:f>
        <x:v>1</x:v>
      </x:c>
    </x:row>
    <x:row r="252">
      <x:c r="A252" t="str">
        <x:v>PED-0251</x:v>
      </x:c>
      <x:c r="B252" s="12" t="n">
        <x:v>46287</x:v>
      </x:c>
      <x:c r="C252" t="str">
        <x:v>MecaParts</x:v>
      </x:c>
      <x:c r="D252" t="str">
        <x:v>Componentes mecánicos</x:v>
      </x:c>
      <x:c r="E252" s="10" t="n">
        <x:v>7526.61</x:v>
      </x:c>
      <x:c r="F252" s="12" t="n">
        <x:v>46296</x:v>
      </x:c>
      <x:c r="G252" s="12" t="n">
        <x:v>46297</x:v>
      </x:c>
      <x:c r="H252" t="n">
        <x:v>381</x:v>
      </x:c>
      <x:c r="I252" t="n">
        <x:v>0</x:v>
      </x:c>
      <x:c r="J252" t="str">
        <x:v>Ninguna</x:v>
      </x:c>
      <x:c r="K252" t="str">
        <x:v>No</x:v>
      </x:c>
      <x:c r="L252" t="str">
        <x:v>Valencia</x:v>
      </x:c>
      <x:c r="M252" t="n">
        <x:f>IF(AND(B252&gt;=DATE(2026,7,1),B252&lt;=DATE(2026,9,30),G252&gt;=DATE(2026,7,1),G252&lt;=DATE(2026,9,30)),1,0)</x:f>
        <x:v>0</x:v>
      </x:c>
      <x:c r="N252" t="n">
        <x:f>IF(M252=1,IF(G252&lt;=F252,1,0),0)</x:f>
        <x:v>0</x:v>
      </x:c>
      <x:c r="O252" t="n">
        <x:f>IF(AND(M252=1,K252="Sí",G252&gt;F252),1,0)</x:f>
        <x:v>0</x:v>
      </x:c>
      <x:c r="P252" t="n">
        <x:f>IF(AND(M252=1,I252&gt;0),1,0)</x:f>
        <x:v>0</x:v>
      </x:c>
      <x:c r="Q252" t="n">
        <x:f>IF(AND(B252&gt;=DATE(2026,7,1),B252&lt;=DATE(2026,9,30),G252&gt;=DATE(2026,10,1),G252&lt;=DATE(2026,10,7)),1,0)</x:f>
        <x:v>1</x:v>
      </x:c>
      <x:c r="R252" t="n">
        <x:f>IF(AND(B252&gt;=DATE(2026,7,1),B252&lt;=DATE(2026,9,30),G252&gt;DATE(2026,10,7)),1,0)</x:f>
        <x:v>0</x:v>
      </x:c>
      <x:c r="S252" t="n">
        <x:f>IF(AND(M252=1,J252&lt;&gt;"Ninguna"),1,0)</x:f>
        <x:v>0</x:v>
      </x:c>
    </x:row>
    <x:row r="253">
      <x:c r="A253" t="str">
        <x:v>PED-0252</x:v>
      </x:c>
      <x:c r="B253" s="12" t="n">
        <x:v>46294</x:v>
      </x:c>
      <x:c r="C253" t="str">
        <x:v>PackPro</x:v>
      </x:c>
      <x:c r="D253" t="str">
        <x:v>Embalaje</x:v>
      </x:c>
      <x:c r="E253" s="10" t="n">
        <x:v>10593.25</x:v>
      </x:c>
      <x:c r="F253" s="12" t="n">
        <x:v>46299</x:v>
      </x:c>
      <x:c r="G253" s="12" t="n">
        <x:v>46298</x:v>
      </x:c>
      <x:c r="H253" t="n">
        <x:v>223</x:v>
      </x:c>
      <x:c r="I253" t="n">
        <x:v>0</x:v>
      </x:c>
      <x:c r="J253" t="str">
        <x:v>Ninguna</x:v>
      </x:c>
      <x:c r="K253" t="str">
        <x:v>No</x:v>
      </x:c>
      <x:c r="L253" t="str">
        <x:v>Barcelona</x:v>
      </x:c>
      <x:c r="M253" t="n">
        <x:f>IF(AND(B253&gt;=DATE(2026,7,1),B253&lt;=DATE(2026,9,30),G253&gt;=DATE(2026,7,1),G253&lt;=DATE(2026,9,30)),1,0)</x:f>
        <x:v>0</x:v>
      </x:c>
      <x:c r="N253" t="n">
        <x:f>IF(M253=1,IF(G253&lt;=F253,1,0),0)</x:f>
        <x:v>0</x:v>
      </x:c>
      <x:c r="O253" t="n">
        <x:f>IF(AND(M253=1,K253="Sí",G253&gt;F253),1,0)</x:f>
        <x:v>0</x:v>
      </x:c>
      <x:c r="P253" t="n">
        <x:f>IF(AND(M253=1,I253&gt;0),1,0)</x:f>
        <x:v>0</x:v>
      </x:c>
      <x:c r="Q253" t="n">
        <x:f>IF(AND(B253&gt;=DATE(2026,7,1),B253&lt;=DATE(2026,9,30),G253&gt;=DATE(2026,10,1),G253&lt;=DATE(2026,10,7)),1,0)</x:f>
        <x:v>1</x:v>
      </x:c>
      <x:c r="R253" t="n">
        <x:f>IF(AND(B253&gt;=DATE(2026,7,1),B253&lt;=DATE(2026,9,30),G253&gt;DATE(2026,10,7)),1,0)</x:f>
        <x:v>0</x:v>
      </x:c>
      <x:c r="S253" t="n">
        <x:f>IF(AND(M253=1,J253&lt;&gt;"Ninguna"),1,0)</x:f>
        <x:v>0</x:v>
      </x:c>
    </x:row>
    <x:row r="254">
      <x:c r="A254" t="str">
        <x:v>PED-0253</x:v>
      </x:c>
      <x:c r="B254" s="12" t="n">
        <x:v>46241</x:v>
      </x:c>
      <x:c r="C254" t="str">
        <x:v>PackPro</x:v>
      </x:c>
      <x:c r="D254" t="str">
        <x:v>Embalaje</x:v>
      </x:c>
      <x:c r="E254" s="10" t="n">
        <x:v>750.89</x:v>
      </x:c>
      <x:c r="F254" s="12" t="n">
        <x:v>46249</x:v>
      </x:c>
      <x:c r="G254" s="12" t="n">
        <x:v>46251</x:v>
      </x:c>
      <x:c r="H254" t="n">
        <x:v>73</x:v>
      </x:c>
      <x:c r="I254" t="n">
        <x:v>0</x:v>
      </x:c>
      <x:c r="J254" t="str">
        <x:v>Ninguna</x:v>
      </x:c>
      <x:c r="K254" t="str">
        <x:v>No</x:v>
      </x:c>
      <x:c r="L254" t="str">
        <x:v>Valencia</x:v>
      </x:c>
      <x:c r="M254" t="n">
        <x:f>IF(AND(B254&gt;=DATE(2026,7,1),B254&lt;=DATE(2026,9,30),G254&gt;=DATE(2026,7,1),G254&lt;=DATE(2026,9,30)),1,0)</x:f>
        <x:v>1</x:v>
      </x:c>
      <x:c r="N254" t="n">
        <x:f>IF(M254=1,IF(G254&lt;=F254,1,0),0)</x:f>
        <x:v>0</x:v>
      </x:c>
      <x:c r="O254" t="n">
        <x:f>IF(AND(M254=1,K254="Sí",G254&gt;F254),1,0)</x:f>
        <x:v>0</x:v>
      </x:c>
      <x:c r="P254" t="n">
        <x:f>IF(AND(M254=1,I254&gt;0),1,0)</x:f>
        <x:v>0</x:v>
      </x:c>
      <x:c r="Q254" t="n">
        <x:f>IF(AND(B254&gt;=DATE(2026,7,1),B254&lt;=DATE(2026,9,30),G254&gt;=DATE(2026,10,1),G254&lt;=DATE(2026,10,7)),1,0)</x:f>
        <x:v>0</x:v>
      </x:c>
      <x:c r="R254" t="n">
        <x:f>IF(AND(B254&gt;=DATE(2026,7,1),B254&lt;=DATE(2026,9,30),G254&gt;DATE(2026,10,7)),1,0)</x:f>
        <x:v>0</x:v>
      </x:c>
      <x:c r="S254" t="n">
        <x:f>IF(AND(M254=1,J254&lt;&gt;"Ninguna"),1,0)</x:f>
        <x:v>0</x:v>
      </x:c>
    </x:row>
    <x:row r="255">
      <x:c r="A255" t="str">
        <x:v>PED-0254</x:v>
      </x:c>
      <x:c r="B255" s="12" t="n">
        <x:v>46205</x:v>
      </x:c>
      <x:c r="C255" t="str">
        <x:v>ElectraSupply</x:v>
      </x:c>
      <x:c r="D255" t="str">
        <x:v>Componentes eléctricos</x:v>
      </x:c>
      <x:c r="E255" s="10" t="n">
        <x:v>9265.47</x:v>
      </x:c>
      <x:c r="F255" s="12" t="n">
        <x:v>46217</x:v>
      </x:c>
      <x:c r="G255" s="12" t="n">
        <x:v>46218</x:v>
      </x:c>
      <x:c r="H255" t="n">
        <x:v>203</x:v>
      </x:c>
      <x:c r="I255" t="n">
        <x:v>0</x:v>
      </x:c>
      <x:c r="J255" t="str">
        <x:v>Ninguna</x:v>
      </x:c>
      <x:c r="K255" t="str">
        <x:v>No</x:v>
      </x:c>
      <x:c r="L255" t="str">
        <x:v>Valencia</x:v>
      </x:c>
      <x:c r="M255" t="n">
        <x:f>IF(AND(B255&gt;=DATE(2026,7,1),B255&lt;=DATE(2026,9,30),G255&gt;=DATE(2026,7,1),G255&lt;=DATE(2026,9,30)),1,0)</x:f>
        <x:v>1</x:v>
      </x:c>
      <x:c r="N255" t="n">
        <x:f>IF(M255=1,IF(G255&lt;=F255,1,0),0)</x:f>
        <x:v>0</x:v>
      </x:c>
      <x:c r="O255" t="n">
        <x:f>IF(AND(M255=1,K255="Sí",G255&gt;F255),1,0)</x:f>
        <x:v>0</x:v>
      </x:c>
      <x:c r="P255" t="n">
        <x:f>IF(AND(M255=1,I255&gt;0),1,0)</x:f>
        <x:v>0</x:v>
      </x:c>
      <x:c r="Q255" t="n">
        <x:f>IF(AND(B255&gt;=DATE(2026,7,1),B255&lt;=DATE(2026,9,30),G255&gt;=DATE(2026,10,1),G255&lt;=DATE(2026,10,7)),1,0)</x:f>
        <x:v>0</x:v>
      </x:c>
      <x:c r="R255" t="n">
        <x:f>IF(AND(B255&gt;=DATE(2026,7,1),B255&lt;=DATE(2026,9,30),G255&gt;DATE(2026,10,7)),1,0)</x:f>
        <x:v>0</x:v>
      </x:c>
      <x:c r="S255" t="n">
        <x:f>IF(AND(M255=1,J255&lt;&gt;"Ninguna"),1,0)</x:f>
        <x:v>0</x:v>
      </x:c>
    </x:row>
    <x:row r="256">
      <x:c r="A256" t="str">
        <x:v>PED-0255</x:v>
      </x:c>
      <x:c r="B256" s="12" t="n">
        <x:v>46231</x:v>
      </x:c>
      <x:c r="C256" t="str">
        <x:v>OfiPlus</x:v>
      </x:c>
      <x:c r="D256" t="str">
        <x:v>Consumibles</x:v>
      </x:c>
      <x:c r="E256" s="10" t="n">
        <x:v>1855.99</x:v>
      </x:c>
      <x:c r="F256" s="12" t="n">
        <x:v>46236</x:v>
      </x:c>
      <x:c r="G256" s="12" t="n">
        <x:v>46236</x:v>
      </x:c>
      <x:c r="H256" t="n">
        <x:v>197</x:v>
      </x:c>
      <x:c r="I256" t="n">
        <x:v>18</x:v>
      </x:c>
      <x:c r="J256" t="str">
        <x:v>Calidad</x:v>
      </x:c>
      <x:c r="K256" t="str">
        <x:v>No</x:v>
      </x:c>
      <x:c r="L256" t="str">
        <x:v>Zaragoza</x:v>
      </x:c>
      <x:c r="M256" t="n">
        <x:f>IF(AND(B256&gt;=DATE(2026,7,1),B256&lt;=DATE(2026,9,30),G256&gt;=DATE(2026,7,1),G256&lt;=DATE(2026,9,30)),1,0)</x:f>
        <x:v>1</x:v>
      </x:c>
      <x:c r="N256" t="n">
        <x:f>IF(M256=1,IF(G256&lt;=F256,1,0),0)</x:f>
        <x:v>1</x:v>
      </x:c>
      <x:c r="O256" t="n">
        <x:f>IF(AND(M256=1,K256="Sí",G256&gt;F256),1,0)</x:f>
        <x:v>0</x:v>
      </x:c>
      <x:c r="P256" t="n">
        <x:f>IF(AND(M256=1,I256&gt;0),1,0)</x:f>
        <x:v>1</x:v>
      </x:c>
      <x:c r="Q256" t="n">
        <x:f>IF(AND(B256&gt;=DATE(2026,7,1),B256&lt;=DATE(2026,9,30),G256&gt;=DATE(2026,10,1),G256&lt;=DATE(2026,10,7)),1,0)</x:f>
        <x:v>0</x:v>
      </x:c>
      <x:c r="R256" t="n">
        <x:f>IF(AND(B256&gt;=DATE(2026,7,1),B256&lt;=DATE(2026,9,30),G256&gt;DATE(2026,10,7)),1,0)</x:f>
        <x:v>0</x:v>
      </x:c>
      <x:c r="S256" t="n">
        <x:f>IF(AND(M256=1,J256&lt;&gt;"Ninguna"),1,0)</x:f>
        <x:v>1</x:v>
      </x:c>
    </x:row>
    <x:row r="257">
      <x:c r="A257" t="str">
        <x:v>PED-0256</x:v>
      </x:c>
      <x:c r="B257" s="12" t="n">
        <x:v>46207</x:v>
      </x:c>
      <x:c r="C257" t="str">
        <x:v>OfiPlus</x:v>
      </x:c>
      <x:c r="D257" t="str">
        <x:v>Consumibles</x:v>
      </x:c>
      <x:c r="E257" s="10" t="n">
        <x:v>1438.1</x:v>
      </x:c>
      <x:c r="F257" s="12" t="n">
        <x:v>46213</x:v>
      </x:c>
      <x:c r="G257" s="12" t="n">
        <x:v>46217</x:v>
      </x:c>
      <x:c r="H257" t="n">
        <x:v>60</x:v>
      </x:c>
      <x:c r="I257" t="n">
        <x:v>0</x:v>
      </x:c>
      <x:c r="J257" t="str">
        <x:v>Ninguna</x:v>
      </x:c>
      <x:c r="K257" t="str">
        <x:v>No</x:v>
      </x:c>
      <x:c r="L257" t="str">
        <x:v>Barcelona</x:v>
      </x:c>
      <x:c r="M257" t="n">
        <x:f>IF(AND(B257&gt;=DATE(2026,7,1),B257&lt;=DATE(2026,9,30),G257&gt;=DATE(2026,7,1),G257&lt;=DATE(2026,9,30)),1,0)</x:f>
        <x:v>1</x:v>
      </x:c>
      <x:c r="N257" t="n">
        <x:f>IF(M257=1,IF(G257&lt;=F257,1,0),0)</x:f>
        <x:v>0</x:v>
      </x:c>
      <x:c r="O257" t="n">
        <x:f>IF(AND(M257=1,K257="Sí",G257&gt;F257),1,0)</x:f>
        <x:v>0</x:v>
      </x:c>
      <x:c r="P257" t="n">
        <x:f>IF(AND(M257=1,I257&gt;0),1,0)</x:f>
        <x:v>0</x:v>
      </x:c>
      <x:c r="Q257" t="n">
        <x:f>IF(AND(B257&gt;=DATE(2026,7,1),B257&lt;=DATE(2026,9,30),G257&gt;=DATE(2026,10,1),G257&lt;=DATE(2026,10,7)),1,0)</x:f>
        <x:v>0</x:v>
      </x:c>
      <x:c r="R257" t="n">
        <x:f>IF(AND(B257&gt;=DATE(2026,7,1),B257&lt;=DATE(2026,9,30),G257&gt;DATE(2026,10,7)),1,0)</x:f>
        <x:v>0</x:v>
      </x:c>
      <x:c r="S257" t="n">
        <x:f>IF(AND(M257=1,J257&lt;&gt;"Ninguna"),1,0)</x:f>
        <x:v>0</x:v>
      </x:c>
    </x:row>
    <x:row r="258">
      <x:c r="A258" t="str">
        <x:v>PED-0257</x:v>
      </x:c>
      <x:c r="B258" s="12" t="n">
        <x:v>46209</x:v>
      </x:c>
      <x:c r="C258" t="str">
        <x:v>PackPro</x:v>
      </x:c>
      <x:c r="D258" t="str">
        <x:v>Embalaje</x:v>
      </x:c>
      <x:c r="E258" s="10" t="n">
        <x:v>2202.67</x:v>
      </x:c>
      <x:c r="F258" s="12" t="n">
        <x:v>46214</x:v>
      </x:c>
      <x:c r="G258" s="12" t="n">
        <x:v>46216</x:v>
      </x:c>
      <x:c r="H258" t="n">
        <x:v>181</x:v>
      </x:c>
      <x:c r="I258" t="n">
        <x:v>0</x:v>
      </x:c>
      <x:c r="J258" t="str">
        <x:v>Ninguna</x:v>
      </x:c>
      <x:c r="K258" t="str">
        <x:v>Sí</x:v>
      </x:c>
      <x:c r="L258" t="str">
        <x:v>Valencia</x:v>
      </x:c>
      <x:c r="M258" t="n">
        <x:f>IF(AND(B258&gt;=DATE(2026,7,1),B258&lt;=DATE(2026,9,30),G258&gt;=DATE(2026,7,1),G258&lt;=DATE(2026,9,30)),1,0)</x:f>
        <x:v>1</x:v>
      </x:c>
      <x:c r="N258" t="n">
        <x:f>IF(M258=1,IF(G258&lt;=F258,1,0),0)</x:f>
        <x:v>0</x:v>
      </x:c>
      <x:c r="O258" t="n">
        <x:f>IF(AND(M258=1,K258="Sí",G258&gt;F258),1,0)</x:f>
        <x:v>1</x:v>
      </x:c>
      <x:c r="P258" t="n">
        <x:f>IF(AND(M258=1,I258&gt;0),1,0)</x:f>
        <x:v>0</x:v>
      </x:c>
      <x:c r="Q258" t="n">
        <x:f>IF(AND(B258&gt;=DATE(2026,7,1),B258&lt;=DATE(2026,9,30),G258&gt;=DATE(2026,10,1),G258&lt;=DATE(2026,10,7)),1,0)</x:f>
        <x:v>0</x:v>
      </x:c>
      <x:c r="R258" t="n">
        <x:f>IF(AND(B258&gt;=DATE(2026,7,1),B258&lt;=DATE(2026,9,30),G258&gt;DATE(2026,10,7)),1,0)</x:f>
        <x:v>0</x:v>
      </x:c>
      <x:c r="S258" t="n">
        <x:f>IF(AND(M258=1,J258&lt;&gt;"Ninguna"),1,0)</x:f>
        <x:v>0</x:v>
      </x:c>
    </x:row>
    <x:row r="259">
      <x:c r="A259" t="str">
        <x:v>PED-0258</x:v>
      </x:c>
      <x:c r="B259" s="12" t="n">
        <x:v>46269</x:v>
      </x:c>
      <x:c r="C259" t="str">
        <x:v>MecaParts</x:v>
      </x:c>
      <x:c r="D259" t="str">
        <x:v>Componentes mecánicos</x:v>
      </x:c>
      <x:c r="E259" s="10" t="n">
        <x:v>1773.88</x:v>
      </x:c>
      <x:c r="F259" s="12" t="n">
        <x:v>46279</x:v>
      </x:c>
      <x:c r="G259" s="12" t="n">
        <x:v>46286</x:v>
      </x:c>
      <x:c r="H259" t="n">
        <x:v>330</x:v>
      </x:c>
      <x:c r="I259" t="n">
        <x:v>0</x:v>
      </x:c>
      <x:c r="J259" t="str">
        <x:v>Documentación</x:v>
      </x:c>
      <x:c r="K259" t="str">
        <x:v>No</x:v>
      </x:c>
      <x:c r="L259" t="str">
        <x:v>Barcelona</x:v>
      </x:c>
      <x:c r="M259" t="n">
        <x:f>IF(AND(B259&gt;=DATE(2026,7,1),B259&lt;=DATE(2026,9,30),G259&gt;=DATE(2026,7,1),G259&lt;=DATE(2026,9,30)),1,0)</x:f>
        <x:v>1</x:v>
      </x:c>
      <x:c r="N259" t="n">
        <x:f>IF(M259=1,IF(G259&lt;=F259,1,0),0)</x:f>
        <x:v>0</x:v>
      </x:c>
      <x:c r="O259" t="n">
        <x:f>IF(AND(M259=1,K259="Sí",G259&gt;F259),1,0)</x:f>
        <x:v>0</x:v>
      </x:c>
      <x:c r="P259" t="n">
        <x:f>IF(AND(M259=1,I259&gt;0),1,0)</x:f>
        <x:v>0</x:v>
      </x:c>
      <x:c r="Q259" t="n">
        <x:f>IF(AND(B259&gt;=DATE(2026,7,1),B259&lt;=DATE(2026,9,30),G259&gt;=DATE(2026,10,1),G259&lt;=DATE(2026,10,7)),1,0)</x:f>
        <x:v>0</x:v>
      </x:c>
      <x:c r="R259" t="n">
        <x:f>IF(AND(B259&gt;=DATE(2026,7,1),B259&lt;=DATE(2026,9,30),G259&gt;DATE(2026,10,7)),1,0)</x:f>
        <x:v>0</x:v>
      </x:c>
      <x:c r="S259" t="n">
        <x:f>IF(AND(M259=1,J259&lt;&gt;"Ninguna"),1,0)</x:f>
        <x:v>1</x:v>
      </x:c>
    </x:row>
    <x:row r="260">
      <x:c r="A260" t="str">
        <x:v>PED-0259</x:v>
      </x:c>
      <x:c r="B260" s="12" t="n">
        <x:v>46233</x:v>
      </x:c>
      <x:c r="C260" t="str">
        <x:v>MecaParts</x:v>
      </x:c>
      <x:c r="D260" t="str">
        <x:v>Componentes mecánicos</x:v>
      </x:c>
      <x:c r="E260" s="10" t="n">
        <x:v>7319.68</x:v>
      </x:c>
      <x:c r="F260" s="12" t="n">
        <x:v>46241</x:v>
      </x:c>
      <x:c r="G260" s="12" t="n">
        <x:v>46242</x:v>
      </x:c>
      <x:c r="H260" t="n">
        <x:v>393</x:v>
      </x:c>
      <x:c r="I260" t="n">
        <x:v>0</x:v>
      </x:c>
      <x:c r="J260" t="str">
        <x:v>Ninguna</x:v>
      </x:c>
      <x:c r="K260" t="str">
        <x:v>No</x:v>
      </x:c>
      <x:c r="L260" t="str">
        <x:v>Barcelona</x:v>
      </x:c>
      <x:c r="M260" t="n">
        <x:f>IF(AND(B260&gt;=DATE(2026,7,1),B260&lt;=DATE(2026,9,30),G260&gt;=DATE(2026,7,1),G260&lt;=DATE(2026,9,30)),1,0)</x:f>
        <x:v>1</x:v>
      </x:c>
      <x:c r="N260" t="n">
        <x:f>IF(M260=1,IF(G260&lt;=F260,1,0),0)</x:f>
        <x:v>0</x:v>
      </x:c>
      <x:c r="O260" t="n">
        <x:f>IF(AND(M260=1,K260="Sí",G260&gt;F260),1,0)</x:f>
        <x:v>0</x:v>
      </x:c>
      <x:c r="P260" t="n">
        <x:f>IF(AND(M260=1,I260&gt;0),1,0)</x:f>
        <x:v>0</x:v>
      </x:c>
      <x:c r="Q260" t="n">
        <x:f>IF(AND(B260&gt;=DATE(2026,7,1),B260&lt;=DATE(2026,9,30),G260&gt;=DATE(2026,10,1),G260&lt;=DATE(2026,10,7)),1,0)</x:f>
        <x:v>0</x:v>
      </x:c>
      <x:c r="R260" t="n">
        <x:f>IF(AND(B260&gt;=DATE(2026,7,1),B260&lt;=DATE(2026,9,30),G260&gt;DATE(2026,10,7)),1,0)</x:f>
        <x:v>0</x:v>
      </x:c>
      <x:c r="S260" t="n">
        <x:f>IF(AND(M260=1,J260&lt;&gt;"Ninguna"),1,0)</x:f>
        <x:v>0</x:v>
      </x:c>
    </x:row>
    <x:row r="261">
      <x:c r="A261" t="str">
        <x:v>PED-0260</x:v>
      </x:c>
      <x:c r="B261" s="12" t="n">
        <x:v>46249</x:v>
      </x:c>
      <x:c r="C261" t="str">
        <x:v>OfiPlus</x:v>
      </x:c>
      <x:c r="D261" t="str">
        <x:v>Consumibles</x:v>
      </x:c>
      <x:c r="E261" s="10" t="n">
        <x:v>1946.55</x:v>
      </x:c>
      <x:c r="F261" s="12" t="n">
        <x:v>46255</x:v>
      </x:c>
      <x:c r="G261" s="12" t="n">
        <x:v>46253</x:v>
      </x:c>
      <x:c r="H261" t="n">
        <x:v>323</x:v>
      </x:c>
      <x:c r="I261" t="n">
        <x:v>0</x:v>
      </x:c>
      <x:c r="J261" t="str">
        <x:v>Ninguna</x:v>
      </x:c>
      <x:c r="K261" t="str">
        <x:v>No</x:v>
      </x:c>
      <x:c r="L261" t="str">
        <x:v>Valencia</x:v>
      </x:c>
      <x:c r="M261" t="n">
        <x:f>IF(AND(B261&gt;=DATE(2026,7,1),B261&lt;=DATE(2026,9,30),G261&gt;=DATE(2026,7,1),G261&lt;=DATE(2026,9,30)),1,0)</x:f>
        <x:v>1</x:v>
      </x:c>
      <x:c r="N261" t="n">
        <x:f>IF(M261=1,IF(G261&lt;=F261,1,0),0)</x:f>
        <x:v>1</x:v>
      </x:c>
      <x:c r="O261" t="n">
        <x:f>IF(AND(M261=1,K261="Sí",G261&gt;F261),1,0)</x:f>
        <x:v>0</x:v>
      </x:c>
      <x:c r="P261" t="n">
        <x:f>IF(AND(M261=1,I261&gt;0),1,0)</x:f>
        <x:v>0</x:v>
      </x:c>
      <x:c r="Q261" t="n">
        <x:f>IF(AND(B261&gt;=DATE(2026,7,1),B261&lt;=DATE(2026,9,30),G261&gt;=DATE(2026,10,1),G261&lt;=DATE(2026,10,7)),1,0)</x:f>
        <x:v>0</x:v>
      </x:c>
      <x:c r="R261" t="n">
        <x:f>IF(AND(B261&gt;=DATE(2026,7,1),B261&lt;=DATE(2026,9,30),G261&gt;DATE(2026,10,7)),1,0)</x:f>
        <x:v>0</x:v>
      </x:c>
      <x:c r="S261" t="n">
        <x:f>IF(AND(M261=1,J261&lt;&gt;"Ninguna"),1,0)</x:f>
        <x:v>0</x:v>
      </x:c>
    </x:row>
    <x:row r="262">
      <x:c r="A262" t="str">
        <x:v>PED-0261</x:v>
      </x:c>
      <x:c r="B262" s="12" t="n">
        <x:v>46204</x:v>
      </x:c>
      <x:c r="C262" t="str">
        <x:v>OfiPlus</x:v>
      </x:c>
      <x:c r="D262" t="str">
        <x:v>Consumibles</x:v>
      </x:c>
      <x:c r="E262" s="10" t="n">
        <x:v>6451.88</x:v>
      </x:c>
      <x:c r="F262" s="12" t="n">
        <x:v>46208</x:v>
      </x:c>
      <x:c r="G262" s="12" t="n">
        <x:v>46209</x:v>
      </x:c>
      <x:c r="H262" t="n">
        <x:v>192</x:v>
      </x:c>
      <x:c r="I262" t="n">
        <x:v>0</x:v>
      </x:c>
      <x:c r="J262" t="str">
        <x:v>Ninguna</x:v>
      </x:c>
      <x:c r="K262" t="str">
        <x:v>No</x:v>
      </x:c>
      <x:c r="L262" t="str">
        <x:v>Barcelona</x:v>
      </x:c>
      <x:c r="M262" t="n">
        <x:f>IF(AND(B262&gt;=DATE(2026,7,1),B262&lt;=DATE(2026,9,30),G262&gt;=DATE(2026,7,1),G262&lt;=DATE(2026,9,30)),1,0)</x:f>
        <x:v>1</x:v>
      </x:c>
      <x:c r="N262" t="n">
        <x:f>IF(M262=1,IF(G262&lt;=F262,1,0),0)</x:f>
        <x:v>0</x:v>
      </x:c>
      <x:c r="O262" t="n">
        <x:f>IF(AND(M262=1,K262="Sí",G262&gt;F262),1,0)</x:f>
        <x:v>0</x:v>
      </x:c>
      <x:c r="P262" t="n">
        <x:f>IF(AND(M262=1,I262&gt;0),1,0)</x:f>
        <x:v>0</x:v>
      </x:c>
      <x:c r="Q262" t="n">
        <x:f>IF(AND(B262&gt;=DATE(2026,7,1),B262&lt;=DATE(2026,9,30),G262&gt;=DATE(2026,10,1),G262&lt;=DATE(2026,10,7)),1,0)</x:f>
        <x:v>0</x:v>
      </x:c>
      <x:c r="R262" t="n">
        <x:f>IF(AND(B262&gt;=DATE(2026,7,1),B262&lt;=DATE(2026,9,30),G262&gt;DATE(2026,10,7)),1,0)</x:f>
        <x:v>0</x:v>
      </x:c>
      <x:c r="S262" t="n">
        <x:f>IF(AND(M262=1,J262&lt;&gt;"Ninguna"),1,0)</x:f>
        <x:v>0</x:v>
      </x:c>
    </x:row>
    <x:row r="263">
      <x:c r="A263" t="str">
        <x:v>PED-0262</x:v>
      </x:c>
      <x:c r="B263" s="12" t="n">
        <x:v>46244</x:v>
      </x:c>
      <x:c r="C263" t="str">
        <x:v>ElectraSupply</x:v>
      </x:c>
      <x:c r="D263" t="str">
        <x:v>Componentes eléctricos</x:v>
      </x:c>
      <x:c r="E263" s="10" t="n">
        <x:v>9331.51</x:v>
      </x:c>
      <x:c r="F263" s="12" t="n">
        <x:v>46255</x:v>
      </x:c>
      <x:c r="G263" s="12" t="n">
        <x:v>46262</x:v>
      </x:c>
      <x:c r="H263" t="n">
        <x:v>186</x:v>
      </x:c>
      <x:c r="I263" t="n">
        <x:v>0</x:v>
      </x:c>
      <x:c r="J263" t="str">
        <x:v>Ninguna</x:v>
      </x:c>
      <x:c r="K263" t="str">
        <x:v>No</x:v>
      </x:c>
      <x:c r="L263" t="str">
        <x:v>Barcelona</x:v>
      </x:c>
      <x:c r="M263" t="n">
        <x:f>IF(AND(B263&gt;=DATE(2026,7,1),B263&lt;=DATE(2026,9,30),G263&gt;=DATE(2026,7,1),G263&lt;=DATE(2026,9,30)),1,0)</x:f>
        <x:v>1</x:v>
      </x:c>
      <x:c r="N263" t="n">
        <x:f>IF(M263=1,IF(G263&lt;=F263,1,0),0)</x:f>
        <x:v>0</x:v>
      </x:c>
      <x:c r="O263" t="n">
        <x:f>IF(AND(M263=1,K263="Sí",G263&gt;F263),1,0)</x:f>
        <x:v>0</x:v>
      </x:c>
      <x:c r="P263" t="n">
        <x:f>IF(AND(M263=1,I263&gt;0),1,0)</x:f>
        <x:v>0</x:v>
      </x:c>
      <x:c r="Q263" t="n">
        <x:f>IF(AND(B263&gt;=DATE(2026,7,1),B263&lt;=DATE(2026,9,30),G263&gt;=DATE(2026,10,1),G263&lt;=DATE(2026,10,7)),1,0)</x:f>
        <x:v>0</x:v>
      </x:c>
      <x:c r="R263" t="n">
        <x:f>IF(AND(B263&gt;=DATE(2026,7,1),B263&lt;=DATE(2026,9,30),G263&gt;DATE(2026,10,7)),1,0)</x:f>
        <x:v>0</x:v>
      </x:c>
      <x:c r="S263" t="n">
        <x:f>IF(AND(M263=1,J263&lt;&gt;"Ninguna"),1,0)</x:f>
        <x:v>0</x:v>
      </x:c>
    </x:row>
    <x:row r="264">
      <x:c r="A264" t="str">
        <x:v>PED-0263</x:v>
      </x:c>
      <x:c r="B264" s="12" t="n">
        <x:v>46274</x:v>
      </x:c>
      <x:c r="C264" t="str">
        <x:v>MetalNova</x:v>
      </x:c>
      <x:c r="D264" t="str">
        <x:v>Componentes mecánicos</x:v>
      </x:c>
      <x:c r="E264" s="10" t="n">
        <x:v>5719.97</x:v>
      </x:c>
      <x:c r="F264" s="12" t="n">
        <x:v>46284</x:v>
      </x:c>
      <x:c r="G264" s="12" t="n">
        <x:v>46284</x:v>
      </x:c>
      <x:c r="H264" t="n">
        <x:v>347</x:v>
      </x:c>
      <x:c r="I264" t="n">
        <x:v>0</x:v>
      </x:c>
      <x:c r="J264" t="str">
        <x:v>Ninguna</x:v>
      </x:c>
      <x:c r="K264" t="str">
        <x:v>No</x:v>
      </x:c>
      <x:c r="L264" t="str">
        <x:v>Zaragoza</x:v>
      </x:c>
      <x:c r="M264" t="n">
        <x:f>IF(AND(B264&gt;=DATE(2026,7,1),B264&lt;=DATE(2026,9,30),G264&gt;=DATE(2026,7,1),G264&lt;=DATE(2026,9,30)),1,0)</x:f>
        <x:v>1</x:v>
      </x:c>
      <x:c r="N264" t="n">
        <x:f>IF(M264=1,IF(G264&lt;=F264,1,0),0)</x:f>
        <x:v>1</x:v>
      </x:c>
      <x:c r="O264" t="n">
        <x:f>IF(AND(M264=1,K264="Sí",G264&gt;F264),1,0)</x:f>
        <x:v>0</x:v>
      </x:c>
      <x:c r="P264" t="n">
        <x:f>IF(AND(M264=1,I264&gt;0),1,0)</x:f>
        <x:v>0</x:v>
      </x:c>
      <x:c r="Q264" t="n">
        <x:f>IF(AND(B264&gt;=DATE(2026,7,1),B264&lt;=DATE(2026,9,30),G264&gt;=DATE(2026,10,1),G264&lt;=DATE(2026,10,7)),1,0)</x:f>
        <x:v>0</x:v>
      </x:c>
      <x:c r="R264" t="n">
        <x:f>IF(AND(B264&gt;=DATE(2026,7,1),B264&lt;=DATE(2026,9,30),G264&gt;DATE(2026,10,7)),1,0)</x:f>
        <x:v>0</x:v>
      </x:c>
      <x:c r="S264" t="n">
        <x:f>IF(AND(M264=1,J264&lt;&gt;"Ninguna"),1,0)</x:f>
        <x:v>0</x:v>
      </x:c>
    </x:row>
    <x:row r="265">
      <x:c r="A265" t="str">
        <x:v>PED-0264</x:v>
      </x:c>
      <x:c r="B265" s="12" t="n">
        <x:v>46277</x:v>
      </x:c>
      <x:c r="C265" t="str">
        <x:v>MetalNova</x:v>
      </x:c>
      <x:c r="D265" t="str">
        <x:v>Materia prima</x:v>
      </x:c>
      <x:c r="E265" s="10" t="n">
        <x:v>10746.52</x:v>
      </x:c>
      <x:c r="F265" s="12" t="n">
        <x:v>46287</x:v>
      </x:c>
      <x:c r="G265" s="12" t="n">
        <x:v>46285</x:v>
      </x:c>
      <x:c r="H265" t="n">
        <x:v>271</x:v>
      </x:c>
      <x:c r="I265" t="n">
        <x:v>0</x:v>
      </x:c>
      <x:c r="J265" t="str">
        <x:v>Ninguna</x:v>
      </x:c>
      <x:c r="K265" t="str">
        <x:v>No</x:v>
      </x:c>
      <x:c r="L265" t="str">
        <x:v>Valencia</x:v>
      </x:c>
      <x:c r="M265" t="n">
        <x:f>IF(AND(B265&gt;=DATE(2026,7,1),B265&lt;=DATE(2026,9,30),G265&gt;=DATE(2026,7,1),G265&lt;=DATE(2026,9,30)),1,0)</x:f>
        <x:v>1</x:v>
      </x:c>
      <x:c r="N265" t="n">
        <x:f>IF(M265=1,IF(G265&lt;=F265,1,0),0)</x:f>
        <x:v>1</x:v>
      </x:c>
      <x:c r="O265" t="n">
        <x:f>IF(AND(M265=1,K265="Sí",G265&gt;F265),1,0)</x:f>
        <x:v>0</x:v>
      </x:c>
      <x:c r="P265" t="n">
        <x:f>IF(AND(M265=1,I265&gt;0),1,0)</x:f>
        <x:v>0</x:v>
      </x:c>
      <x:c r="Q265" t="n">
        <x:f>IF(AND(B265&gt;=DATE(2026,7,1),B265&lt;=DATE(2026,9,30),G265&gt;=DATE(2026,10,1),G265&lt;=DATE(2026,10,7)),1,0)</x:f>
        <x:v>0</x:v>
      </x:c>
      <x:c r="R265" t="n">
        <x:f>IF(AND(B265&gt;=DATE(2026,7,1),B265&lt;=DATE(2026,9,30),G265&gt;DATE(2026,10,7)),1,0)</x:f>
        <x:v>0</x:v>
      </x:c>
      <x:c r="S265" t="n">
        <x:f>IF(AND(M265=1,J265&lt;&gt;"Ninguna"),1,0)</x:f>
        <x:v>0</x:v>
      </x:c>
    </x:row>
    <x:row r="266">
      <x:c r="A266" t="str">
        <x:v>PED-0265</x:v>
      </x:c>
      <x:c r="B266" s="12" t="n">
        <x:v>46260</x:v>
      </x:c>
      <x:c r="C266" t="str">
        <x:v>OfiPlus</x:v>
      </x:c>
      <x:c r="D266" t="str">
        <x:v>Consumibles</x:v>
      </x:c>
      <x:c r="E266" s="10" t="n">
        <x:v>18921.88</x:v>
      </x:c>
      <x:c r="F266" s="12" t="n">
        <x:v>46266</x:v>
      </x:c>
      <x:c r="G266" s="12" t="n">
        <x:v>46273</x:v>
      </x:c>
      <x:c r="H266" t="n">
        <x:v>375</x:v>
      </x:c>
      <x:c r="I266" t="n">
        <x:v>0</x:v>
      </x:c>
      <x:c r="J266" t="str">
        <x:v>Retraso</x:v>
      </x:c>
      <x:c r="K266" t="str">
        <x:v>No</x:v>
      </x:c>
      <x:c r="L266" t="str">
        <x:v>Valencia</x:v>
      </x:c>
      <x:c r="M266" t="n">
        <x:f>IF(AND(B266&gt;=DATE(2026,7,1),B266&lt;=DATE(2026,9,30),G266&gt;=DATE(2026,7,1),G266&lt;=DATE(2026,9,30)),1,0)</x:f>
        <x:v>1</x:v>
      </x:c>
      <x:c r="N266" t="n">
        <x:f>IF(M266=1,IF(G266&lt;=F266,1,0),0)</x:f>
        <x:v>0</x:v>
      </x:c>
      <x:c r="O266" t="n">
        <x:f>IF(AND(M266=1,K266="Sí",G266&gt;F266),1,0)</x:f>
        <x:v>0</x:v>
      </x:c>
      <x:c r="P266" t="n">
        <x:f>IF(AND(M266=1,I266&gt;0),1,0)</x:f>
        <x:v>0</x:v>
      </x:c>
      <x:c r="Q266" t="n">
        <x:f>IF(AND(B266&gt;=DATE(2026,7,1),B266&lt;=DATE(2026,9,30),G266&gt;=DATE(2026,10,1),G266&lt;=DATE(2026,10,7)),1,0)</x:f>
        <x:v>0</x:v>
      </x:c>
      <x:c r="R266" t="n">
        <x:f>IF(AND(B266&gt;=DATE(2026,7,1),B266&lt;=DATE(2026,9,30),G266&gt;DATE(2026,10,7)),1,0)</x:f>
        <x:v>0</x:v>
      </x:c>
      <x:c r="S266" t="n">
        <x:f>IF(AND(M266=1,J266&lt;&gt;"Ninguna"),1,0)</x:f>
        <x:v>1</x:v>
      </x:c>
    </x:row>
    <x:row r="267">
      <x:c r="A267" t="str">
        <x:v>PED-0266</x:v>
      </x:c>
      <x:c r="B267" s="12" t="n">
        <x:v>46204</x:v>
      </x:c>
      <x:c r="C267" t="str">
        <x:v>ElectraSupply</x:v>
      </x:c>
      <x:c r="D267" t="str">
        <x:v>Componentes eléctricos</x:v>
      </x:c>
      <x:c r="E267" s="10" t="n">
        <x:v>2174.36</x:v>
      </x:c>
      <x:c r="F267" s="12" t="n">
        <x:v>46217</x:v>
      </x:c>
      <x:c r="G267" s="12" t="n">
        <x:v>46223</x:v>
      </x:c>
      <x:c r="H267" t="n">
        <x:v>144</x:v>
      </x:c>
      <x:c r="I267" t="n">
        <x:v>0</x:v>
      </x:c>
      <x:c r="J267" t="str">
        <x:v>Ninguna</x:v>
      </x:c>
      <x:c r="K267" t="str">
        <x:v>No</x:v>
      </x:c>
      <x:c r="L267" t="str">
        <x:v>Barcelona</x:v>
      </x:c>
      <x:c r="M267" t="n">
        <x:f>IF(AND(B267&gt;=DATE(2026,7,1),B267&lt;=DATE(2026,9,30),G267&gt;=DATE(2026,7,1),G267&lt;=DATE(2026,9,30)),1,0)</x:f>
        <x:v>1</x:v>
      </x:c>
      <x:c r="N267" t="n">
        <x:f>IF(M267=1,IF(G267&lt;=F267,1,0),0)</x:f>
        <x:v>0</x:v>
      </x:c>
      <x:c r="O267" t="n">
        <x:f>IF(AND(M267=1,K267="Sí",G267&gt;F267),1,0)</x:f>
        <x:v>0</x:v>
      </x:c>
      <x:c r="P267" t="n">
        <x:f>IF(AND(M267=1,I267&gt;0),1,0)</x:f>
        <x:v>0</x:v>
      </x:c>
      <x:c r="Q267" t="n">
        <x:f>IF(AND(B267&gt;=DATE(2026,7,1),B267&lt;=DATE(2026,9,30),G267&gt;=DATE(2026,10,1),G267&lt;=DATE(2026,10,7)),1,0)</x:f>
        <x:v>0</x:v>
      </x:c>
      <x:c r="R267" t="n">
        <x:f>IF(AND(B267&gt;=DATE(2026,7,1),B267&lt;=DATE(2026,9,30),G267&gt;DATE(2026,10,7)),1,0)</x:f>
        <x:v>0</x:v>
      </x:c>
      <x:c r="S267" t="n">
        <x:f>IF(AND(M267=1,J267&lt;&gt;"Ninguna"),1,0)</x:f>
        <x:v>0</x:v>
      </x:c>
    </x:row>
    <x:row r="268">
      <x:c r="A268" t="str">
        <x:v>PED-0267</x:v>
      </x:c>
      <x:c r="B268" s="12" t="n">
        <x:v>46276</x:v>
      </x:c>
      <x:c r="C268" t="str">
        <x:v>ElectraSupply</x:v>
      </x:c>
      <x:c r="D268" t="str">
        <x:v>Componentes eléctricos</x:v>
      </x:c>
      <x:c r="E268" s="10" t="n">
        <x:v>1087.51</x:v>
      </x:c>
      <x:c r="F268" s="12" t="n">
        <x:v>46288</x:v>
      </x:c>
      <x:c r="G268" s="12" t="n">
        <x:v>46289</x:v>
      </x:c>
      <x:c r="H268" t="n">
        <x:v>78</x:v>
      </x:c>
      <x:c r="I268" t="n">
        <x:v>0</x:v>
      </x:c>
      <x:c r="J268" t="str">
        <x:v>Ninguna</x:v>
      </x:c>
      <x:c r="K268" t="str">
        <x:v>No</x:v>
      </x:c>
      <x:c r="L268" t="str">
        <x:v>Zaragoza</x:v>
      </x:c>
      <x:c r="M268" t="n">
        <x:f>IF(AND(B268&gt;=DATE(2026,7,1),B268&lt;=DATE(2026,9,30),G268&gt;=DATE(2026,7,1),G268&lt;=DATE(2026,9,30)),1,0)</x:f>
        <x:v>1</x:v>
      </x:c>
      <x:c r="N268" t="n">
        <x:f>IF(M268=1,IF(G268&lt;=F268,1,0),0)</x:f>
        <x:v>0</x:v>
      </x:c>
      <x:c r="O268" t="n">
        <x:f>IF(AND(M268=1,K268="Sí",G268&gt;F268),1,0)</x:f>
        <x:v>0</x:v>
      </x:c>
      <x:c r="P268" t="n">
        <x:f>IF(AND(M268=1,I268&gt;0),1,0)</x:f>
        <x:v>0</x:v>
      </x:c>
      <x:c r="Q268" t="n">
        <x:f>IF(AND(B268&gt;=DATE(2026,7,1),B268&lt;=DATE(2026,9,30),G268&gt;=DATE(2026,10,1),G268&lt;=DATE(2026,10,7)),1,0)</x:f>
        <x:v>0</x:v>
      </x:c>
      <x:c r="R268" t="n">
        <x:f>IF(AND(B268&gt;=DATE(2026,7,1),B268&lt;=DATE(2026,9,30),G268&gt;DATE(2026,10,7)),1,0)</x:f>
        <x:v>0</x:v>
      </x:c>
      <x:c r="S268" t="n">
        <x:f>IF(AND(M268=1,J268&lt;&gt;"Ninguna"),1,0)</x:f>
        <x:v>0</x:v>
      </x:c>
    </x:row>
    <x:row r="269">
      <x:c r="A269" t="str">
        <x:v>PED-0268</x:v>
      </x:c>
      <x:c r="B269" s="12" t="n">
        <x:v>46217</x:v>
      </x:c>
      <x:c r="C269" t="str">
        <x:v>ElectraSupply</x:v>
      </x:c>
      <x:c r="D269" t="str">
        <x:v>Componentes eléctricos</x:v>
      </x:c>
      <x:c r="E269" s="10" t="n">
        <x:v>1445.69</x:v>
      </x:c>
      <x:c r="F269" s="12" t="n">
        <x:v>46230</x:v>
      </x:c>
      <x:c r="G269" s="12" t="n">
        <x:v>46232</x:v>
      </x:c>
      <x:c r="H269" t="n">
        <x:v>287</x:v>
      </x:c>
      <x:c r="I269" t="n">
        <x:v>0</x:v>
      </x:c>
      <x:c r="J269" t="str">
        <x:v>Ninguna</x:v>
      </x:c>
      <x:c r="K269" t="str">
        <x:v>Sí</x:v>
      </x:c>
      <x:c r="L269" t="str">
        <x:v>Zaragoza</x:v>
      </x:c>
      <x:c r="M269" t="n">
        <x:f>IF(AND(B269&gt;=DATE(2026,7,1),B269&lt;=DATE(2026,9,30),G269&gt;=DATE(2026,7,1),G269&lt;=DATE(2026,9,30)),1,0)</x:f>
        <x:v>1</x:v>
      </x:c>
      <x:c r="N269" t="n">
        <x:f>IF(M269=1,IF(G269&lt;=F269,1,0),0)</x:f>
        <x:v>0</x:v>
      </x:c>
      <x:c r="O269" t="n">
        <x:f>IF(AND(M269=1,K269="Sí",G269&gt;F269),1,0)</x:f>
        <x:v>1</x:v>
      </x:c>
      <x:c r="P269" t="n">
        <x:f>IF(AND(M269=1,I269&gt;0),1,0)</x:f>
        <x:v>0</x:v>
      </x:c>
      <x:c r="Q269" t="n">
        <x:f>IF(AND(B269&gt;=DATE(2026,7,1),B269&lt;=DATE(2026,9,30),G269&gt;=DATE(2026,10,1),G269&lt;=DATE(2026,10,7)),1,0)</x:f>
        <x:v>0</x:v>
      </x:c>
      <x:c r="R269" t="n">
        <x:f>IF(AND(B269&gt;=DATE(2026,7,1),B269&lt;=DATE(2026,9,30),G269&gt;DATE(2026,10,7)),1,0)</x:f>
        <x:v>0</x:v>
      </x:c>
      <x:c r="S269" t="n">
        <x:f>IF(AND(M269=1,J269&lt;&gt;"Ninguna"),1,0)</x:f>
        <x:v>0</x:v>
      </x:c>
    </x:row>
    <x:row r="270">
      <x:c r="A270" t="str">
        <x:v>PED-0269</x:v>
      </x:c>
      <x:c r="B270" s="12" t="n">
        <x:v>46231</x:v>
      </x:c>
      <x:c r="C270" t="str">
        <x:v>MetalNova</x:v>
      </x:c>
      <x:c r="D270" t="str">
        <x:v>Componentes mecánicos</x:v>
      </x:c>
      <x:c r="E270" s="10" t="n">
        <x:v>1562.58</x:v>
      </x:c>
      <x:c r="F270" s="12" t="n">
        <x:v>46240</x:v>
      </x:c>
      <x:c r="G270" s="12" t="n">
        <x:v>46241</x:v>
      </x:c>
      <x:c r="H270" t="n">
        <x:v>115</x:v>
      </x:c>
      <x:c r="I270" t="n">
        <x:v>0</x:v>
      </x:c>
      <x:c r="J270" t="str">
        <x:v>Ninguna</x:v>
      </x:c>
      <x:c r="K270" t="str">
        <x:v>No</x:v>
      </x:c>
      <x:c r="L270" t="str">
        <x:v>Barcelona</x:v>
      </x:c>
      <x:c r="M270" t="n">
        <x:f>IF(AND(B270&gt;=DATE(2026,7,1),B270&lt;=DATE(2026,9,30),G270&gt;=DATE(2026,7,1),G270&lt;=DATE(2026,9,30)),1,0)</x:f>
        <x:v>1</x:v>
      </x:c>
      <x:c r="N270" t="n">
        <x:f>IF(M270=1,IF(G270&lt;=F270,1,0),0)</x:f>
        <x:v>0</x:v>
      </x:c>
      <x:c r="O270" t="n">
        <x:f>IF(AND(M270=1,K270="Sí",G270&gt;F270),1,0)</x:f>
        <x:v>0</x:v>
      </x:c>
      <x:c r="P270" t="n">
        <x:f>IF(AND(M270=1,I270&gt;0),1,0)</x:f>
        <x:v>0</x:v>
      </x:c>
      <x:c r="Q270" t="n">
        <x:f>IF(AND(B270&gt;=DATE(2026,7,1),B270&lt;=DATE(2026,9,30),G270&gt;=DATE(2026,10,1),G270&lt;=DATE(2026,10,7)),1,0)</x:f>
        <x:v>0</x:v>
      </x:c>
      <x:c r="R270" t="n">
        <x:f>IF(AND(B270&gt;=DATE(2026,7,1),B270&lt;=DATE(2026,9,30),G270&gt;DATE(2026,10,7)),1,0)</x:f>
        <x:v>0</x:v>
      </x:c>
      <x:c r="S270" t="n">
        <x:f>IF(AND(M270=1,J270&lt;&gt;"Ninguna"),1,0)</x:f>
        <x:v>0</x:v>
      </x:c>
    </x:row>
    <x:row r="271">
      <x:c r="A271" t="str">
        <x:v>PED-0270</x:v>
      </x:c>
      <x:c r="B271" s="12" t="n">
        <x:v>46206</x:v>
      </x:c>
      <x:c r="C271" t="str">
        <x:v>MetalNova</x:v>
      </x:c>
      <x:c r="D271" t="str">
        <x:v>Componentes mecánicos</x:v>
      </x:c>
      <x:c r="E271" s="10" t="n">
        <x:v>953.88</x:v>
      </x:c>
      <x:c r="F271" s="12" t="n">
        <x:v>46217</x:v>
      </x:c>
      <x:c r="G271" s="12" t="n">
        <x:v>46221</x:v>
      </x:c>
      <x:c r="H271" t="n">
        <x:v>129</x:v>
      </x:c>
      <x:c r="I271" t="n">
        <x:v>0</x:v>
      </x:c>
      <x:c r="J271" t="str">
        <x:v>Ninguna</x:v>
      </x:c>
      <x:c r="K271" t="str">
        <x:v>No</x:v>
      </x:c>
      <x:c r="L271" t="str">
        <x:v>Valencia</x:v>
      </x:c>
      <x:c r="M271" t="n">
        <x:f>IF(AND(B271&gt;=DATE(2026,7,1),B271&lt;=DATE(2026,9,30),G271&gt;=DATE(2026,7,1),G271&lt;=DATE(2026,9,30)),1,0)</x:f>
        <x:v>1</x:v>
      </x:c>
      <x:c r="N271" t="n">
        <x:f>IF(M271=1,IF(G271&lt;=F271,1,0),0)</x:f>
        <x:v>0</x:v>
      </x:c>
      <x:c r="O271" t="n">
        <x:f>IF(AND(M271=1,K271="Sí",G271&gt;F271),1,0)</x:f>
        <x:v>0</x:v>
      </x:c>
      <x:c r="P271" t="n">
        <x:f>IF(AND(M271=1,I271&gt;0),1,0)</x:f>
        <x:v>0</x:v>
      </x:c>
      <x:c r="Q271" t="n">
        <x:f>IF(AND(B271&gt;=DATE(2026,7,1),B271&lt;=DATE(2026,9,30),G271&gt;=DATE(2026,10,1),G271&lt;=DATE(2026,10,7)),1,0)</x:f>
        <x:v>0</x:v>
      </x:c>
      <x:c r="R271" t="n">
        <x:f>IF(AND(B271&gt;=DATE(2026,7,1),B271&lt;=DATE(2026,9,30),G271&gt;DATE(2026,10,7)),1,0)</x:f>
        <x:v>0</x:v>
      </x:c>
      <x:c r="S271" t="n">
        <x:f>IF(AND(M271=1,J271&lt;&gt;"Ninguna"),1,0)</x:f>
        <x:v>0</x:v>
      </x:c>
    </x:row>
    <x:row r="272">
      <x:c r="A272" t="str">
        <x:v>PED-0271</x:v>
      </x:c>
      <x:c r="B272" s="12" t="n">
        <x:v>46266</x:v>
      </x:c>
      <x:c r="C272" t="str">
        <x:v>OfiPlus</x:v>
      </x:c>
      <x:c r="D272" t="str">
        <x:v>Consumibles</x:v>
      </x:c>
      <x:c r="E272" s="10" t="n">
        <x:v>815.63</x:v>
      </x:c>
      <x:c r="F272" s="12" t="n">
        <x:v>46270</x:v>
      </x:c>
      <x:c r="G272" s="12" t="n">
        <x:v>46268</x:v>
      </x:c>
      <x:c r="H272" t="n">
        <x:v>173</x:v>
      </x:c>
      <x:c r="I272" t="n">
        <x:v>0</x:v>
      </x:c>
      <x:c r="J272" t="str">
        <x:v>Ninguna</x:v>
      </x:c>
      <x:c r="K272" t="str">
        <x:v>No</x:v>
      </x:c>
      <x:c r="L272" t="str">
        <x:v>Zaragoza</x:v>
      </x:c>
      <x:c r="M272" t="n">
        <x:f>IF(AND(B272&gt;=DATE(2026,7,1),B272&lt;=DATE(2026,9,30),G272&gt;=DATE(2026,7,1),G272&lt;=DATE(2026,9,30)),1,0)</x:f>
        <x:v>1</x:v>
      </x:c>
      <x:c r="N272" t="n">
        <x:f>IF(M272=1,IF(G272&lt;=F272,1,0),0)</x:f>
        <x:v>1</x:v>
      </x:c>
      <x:c r="O272" t="n">
        <x:f>IF(AND(M272=1,K272="Sí",G272&gt;F272),1,0)</x:f>
        <x:v>0</x:v>
      </x:c>
      <x:c r="P272" t="n">
        <x:f>IF(AND(M272=1,I272&gt;0),1,0)</x:f>
        <x:v>0</x:v>
      </x:c>
      <x:c r="Q272" t="n">
        <x:f>IF(AND(B272&gt;=DATE(2026,7,1),B272&lt;=DATE(2026,9,30),G272&gt;=DATE(2026,10,1),G272&lt;=DATE(2026,10,7)),1,0)</x:f>
        <x:v>0</x:v>
      </x:c>
      <x:c r="R272" t="n">
        <x:f>IF(AND(B272&gt;=DATE(2026,7,1),B272&lt;=DATE(2026,9,30),G272&gt;DATE(2026,10,7)),1,0)</x:f>
        <x:v>0</x:v>
      </x:c>
      <x:c r="S272" t="n">
        <x:f>IF(AND(M272=1,J272&lt;&gt;"Ninguna"),1,0)</x:f>
        <x:v>0</x:v>
      </x:c>
    </x:row>
    <x:row r="273">
      <x:c r="A273" t="str">
        <x:v>PED-0272</x:v>
      </x:c>
      <x:c r="B273" s="12" t="n">
        <x:v>46241</x:v>
      </x:c>
      <x:c r="C273" t="str">
        <x:v>OfiPlus</x:v>
      </x:c>
      <x:c r="D273" t="str">
        <x:v>Consumibles</x:v>
      </x:c>
      <x:c r="E273" s="10" t="n">
        <x:v>7299.19</x:v>
      </x:c>
      <x:c r="F273" s="12" t="n">
        <x:v>46244</x:v>
      </x:c>
      <x:c r="G273" s="12" t="n">
        <x:v>46243</x:v>
      </x:c>
      <x:c r="H273" t="n">
        <x:v>354</x:v>
      </x:c>
      <x:c r="I273" t="n">
        <x:v>0</x:v>
      </x:c>
      <x:c r="J273" t="str">
        <x:v>Documentación</x:v>
      </x:c>
      <x:c r="K273" t="str">
        <x:v>No</x:v>
      </x:c>
      <x:c r="L273" t="str">
        <x:v>Zaragoza</x:v>
      </x:c>
      <x:c r="M273" t="n">
        <x:f>IF(AND(B273&gt;=DATE(2026,7,1),B273&lt;=DATE(2026,9,30),G273&gt;=DATE(2026,7,1),G273&lt;=DATE(2026,9,30)),1,0)</x:f>
        <x:v>1</x:v>
      </x:c>
      <x:c r="N273" t="n">
        <x:f>IF(M273=1,IF(G273&lt;=F273,1,0),0)</x:f>
        <x:v>1</x:v>
      </x:c>
      <x:c r="O273" t="n">
        <x:f>IF(AND(M273=1,K273="Sí",G273&gt;F273),1,0)</x:f>
        <x:v>0</x:v>
      </x:c>
      <x:c r="P273" t="n">
        <x:f>IF(AND(M273=1,I273&gt;0),1,0)</x:f>
        <x:v>0</x:v>
      </x:c>
      <x:c r="Q273" t="n">
        <x:f>IF(AND(B273&gt;=DATE(2026,7,1),B273&lt;=DATE(2026,9,30),G273&gt;=DATE(2026,10,1),G273&lt;=DATE(2026,10,7)),1,0)</x:f>
        <x:v>0</x:v>
      </x:c>
      <x:c r="R273" t="n">
        <x:f>IF(AND(B273&gt;=DATE(2026,7,1),B273&lt;=DATE(2026,9,30),G273&gt;DATE(2026,10,7)),1,0)</x:f>
        <x:v>0</x:v>
      </x:c>
      <x:c r="S273" t="n">
        <x:f>IF(AND(M273=1,J273&lt;&gt;"Ninguna"),1,0)</x:f>
        <x:v>1</x:v>
      </x:c>
    </x:row>
    <x:row r="274">
      <x:c r="A274" t="str">
        <x:v>PED-0273</x:v>
      </x:c>
      <x:c r="B274" s="12" t="n">
        <x:v>46229</x:v>
      </x:c>
      <x:c r="C274" t="str">
        <x:v>OfiPlus</x:v>
      </x:c>
      <x:c r="D274" t="str">
        <x:v>Consumibles</x:v>
      </x:c>
      <x:c r="E274" s="10" t="n">
        <x:v>7053.41</x:v>
      </x:c>
      <x:c r="F274" s="12" t="n">
        <x:v>46234</x:v>
      </x:c>
      <x:c r="G274" s="12" t="n">
        <x:v>46238</x:v>
      </x:c>
      <x:c r="H274" t="n">
        <x:v>328</x:v>
      </x:c>
      <x:c r="I274" t="n">
        <x:v>0</x:v>
      </x:c>
      <x:c r="J274" t="str">
        <x:v>Ninguna</x:v>
      </x:c>
      <x:c r="K274" t="str">
        <x:v>No</x:v>
      </x:c>
      <x:c r="L274" t="str">
        <x:v>Barcelona</x:v>
      </x:c>
      <x:c r="M274" t="n">
        <x:f>IF(AND(B274&gt;=DATE(2026,7,1),B274&lt;=DATE(2026,9,30),G274&gt;=DATE(2026,7,1),G274&lt;=DATE(2026,9,30)),1,0)</x:f>
        <x:v>1</x:v>
      </x:c>
      <x:c r="N274" t="n">
        <x:f>IF(M274=1,IF(G274&lt;=F274,1,0),0)</x:f>
        <x:v>0</x:v>
      </x:c>
      <x:c r="O274" t="n">
        <x:f>IF(AND(M274=1,K274="Sí",G274&gt;F274),1,0)</x:f>
        <x:v>0</x:v>
      </x:c>
      <x:c r="P274" t="n">
        <x:f>IF(AND(M274=1,I274&gt;0),1,0)</x:f>
        <x:v>0</x:v>
      </x:c>
      <x:c r="Q274" t="n">
        <x:f>IF(AND(B274&gt;=DATE(2026,7,1),B274&lt;=DATE(2026,9,30),G274&gt;=DATE(2026,10,1),G274&lt;=DATE(2026,10,7)),1,0)</x:f>
        <x:v>0</x:v>
      </x:c>
      <x:c r="R274" t="n">
        <x:f>IF(AND(B274&gt;=DATE(2026,7,1),B274&lt;=DATE(2026,9,30),G274&gt;DATE(2026,10,7)),1,0)</x:f>
        <x:v>0</x:v>
      </x:c>
      <x:c r="S274" t="n">
        <x:f>IF(AND(M274=1,J274&lt;&gt;"Ninguna"),1,0)</x:f>
        <x:v>0</x:v>
      </x:c>
    </x:row>
    <x:row r="275">
      <x:c r="A275" t="str">
        <x:v>PED-0274</x:v>
      </x:c>
      <x:c r="B275" s="12" t="n">
        <x:v>46248</x:v>
      </x:c>
      <x:c r="C275" t="str">
        <x:v>MetalNova</x:v>
      </x:c>
      <x:c r="D275" t="str">
        <x:v>Materia prima</x:v>
      </x:c>
      <x:c r="E275" s="10" t="n">
        <x:v>4194.76</x:v>
      </x:c>
      <x:c r="F275" s="12" t="n">
        <x:v>46260</x:v>
      </x:c>
      <x:c r="G275" s="12" t="n">
        <x:v>46258</x:v>
      </x:c>
      <x:c r="H275" t="n">
        <x:v>129</x:v>
      </x:c>
      <x:c r="I275" t="n">
        <x:v>0</x:v>
      </x:c>
      <x:c r="J275" t="str">
        <x:v>Ninguna</x:v>
      </x:c>
      <x:c r="K275" t="str">
        <x:v>No</x:v>
      </x:c>
      <x:c r="L275" t="str">
        <x:v>Zaragoza</x:v>
      </x:c>
      <x:c r="M275" t="n">
        <x:f>IF(AND(B275&gt;=DATE(2026,7,1),B275&lt;=DATE(2026,9,30),G275&gt;=DATE(2026,7,1),G275&lt;=DATE(2026,9,30)),1,0)</x:f>
        <x:v>1</x:v>
      </x:c>
      <x:c r="N275" t="n">
        <x:f>IF(M275=1,IF(G275&lt;=F275,1,0),0)</x:f>
        <x:v>1</x:v>
      </x:c>
      <x:c r="O275" t="n">
        <x:f>IF(AND(M275=1,K275="Sí",G275&gt;F275),1,0)</x:f>
        <x:v>0</x:v>
      </x:c>
      <x:c r="P275" t="n">
        <x:f>IF(AND(M275=1,I275&gt;0),1,0)</x:f>
        <x:v>0</x:v>
      </x:c>
      <x:c r="Q275" t="n">
        <x:f>IF(AND(B275&gt;=DATE(2026,7,1),B275&lt;=DATE(2026,9,30),G275&gt;=DATE(2026,10,1),G275&lt;=DATE(2026,10,7)),1,0)</x:f>
        <x:v>0</x:v>
      </x:c>
      <x:c r="R275" t="n">
        <x:f>IF(AND(B275&gt;=DATE(2026,7,1),B275&lt;=DATE(2026,9,30),G275&gt;DATE(2026,10,7)),1,0)</x:f>
        <x:v>0</x:v>
      </x:c>
      <x:c r="S275" t="n">
        <x:f>IF(AND(M275=1,J275&lt;&gt;"Ninguna"),1,0)</x:f>
        <x:v>0</x:v>
      </x:c>
    </x:row>
    <x:row r="276">
      <x:c r="A276" t="str">
        <x:v>PED-0275</x:v>
      </x:c>
      <x:c r="B276" s="12" t="n">
        <x:v>46211</x:v>
      </x:c>
      <x:c r="C276" t="str">
        <x:v>OfiPlus</x:v>
      </x:c>
      <x:c r="D276" t="str">
        <x:v>Consumibles</x:v>
      </x:c>
      <x:c r="E276" s="10" t="n">
        <x:v>4217.13</x:v>
      </x:c>
      <x:c r="F276" s="12" t="n">
        <x:v>46215</x:v>
      </x:c>
      <x:c r="G276" s="12" t="n">
        <x:v>46220</x:v>
      </x:c>
      <x:c r="H276" t="n">
        <x:v>356</x:v>
      </x:c>
      <x:c r="I276" t="n">
        <x:v>0</x:v>
      </x:c>
      <x:c r="J276" t="str">
        <x:v>Ninguna</x:v>
      </x:c>
      <x:c r="K276" t="str">
        <x:v>No</x:v>
      </x:c>
      <x:c r="L276" t="str">
        <x:v>Valencia</x:v>
      </x:c>
      <x:c r="M276" t="n">
        <x:f>IF(AND(B276&gt;=DATE(2026,7,1),B276&lt;=DATE(2026,9,30),G276&gt;=DATE(2026,7,1),G276&lt;=DATE(2026,9,30)),1,0)</x:f>
        <x:v>1</x:v>
      </x:c>
      <x:c r="N276" t="n">
        <x:f>IF(M276=1,IF(G276&lt;=F276,1,0),0)</x:f>
        <x:v>0</x:v>
      </x:c>
      <x:c r="O276" t="n">
        <x:f>IF(AND(M276=1,K276="Sí",G276&gt;F276),1,0)</x:f>
        <x:v>0</x:v>
      </x:c>
      <x:c r="P276" t="n">
        <x:f>IF(AND(M276=1,I276&gt;0),1,0)</x:f>
        <x:v>0</x:v>
      </x:c>
      <x:c r="Q276" t="n">
        <x:f>IF(AND(B276&gt;=DATE(2026,7,1),B276&lt;=DATE(2026,9,30),G276&gt;=DATE(2026,10,1),G276&lt;=DATE(2026,10,7)),1,0)</x:f>
        <x:v>0</x:v>
      </x:c>
      <x:c r="R276" t="n">
        <x:f>IF(AND(B276&gt;=DATE(2026,7,1),B276&lt;=DATE(2026,9,30),G276&gt;DATE(2026,10,7)),1,0)</x:f>
        <x:v>0</x:v>
      </x:c>
      <x:c r="S276" t="n">
        <x:f>IF(AND(M276=1,J276&lt;&gt;"Ninguna"),1,0)</x:f>
        <x:v>0</x:v>
      </x:c>
    </x:row>
    <x:row r="277">
      <x:c r="A277" t="str">
        <x:v>PED-0276</x:v>
      </x:c>
      <x:c r="B277" s="12" t="n">
        <x:v>46266</x:v>
      </x:c>
      <x:c r="C277" t="str">
        <x:v>PackPro</x:v>
      </x:c>
      <x:c r="D277" t="str">
        <x:v>Embalaje</x:v>
      </x:c>
      <x:c r="E277" s="10" t="n">
        <x:v>5060.27</x:v>
      </x:c>
      <x:c r="F277" s="12" t="n">
        <x:v>46272</x:v>
      </x:c>
      <x:c r="G277" s="12" t="n">
        <x:v>46271</x:v>
      </x:c>
      <x:c r="H277" t="n">
        <x:v>182</x:v>
      </x:c>
      <x:c r="I277" t="n">
        <x:v>0</x:v>
      </x:c>
      <x:c r="J277" t="str">
        <x:v>Cantidad incorrecta</x:v>
      </x:c>
      <x:c r="K277" t="str">
        <x:v>No</x:v>
      </x:c>
      <x:c r="L277" t="str">
        <x:v>Barcelona</x:v>
      </x:c>
      <x:c r="M277" t="n">
        <x:f>IF(AND(B277&gt;=DATE(2026,7,1),B277&lt;=DATE(2026,9,30),G277&gt;=DATE(2026,7,1),G277&lt;=DATE(2026,9,30)),1,0)</x:f>
        <x:v>1</x:v>
      </x:c>
      <x:c r="N277" t="n">
        <x:f>IF(M277=1,IF(G277&lt;=F277,1,0),0)</x:f>
        <x:v>1</x:v>
      </x:c>
      <x:c r="O277" t="n">
        <x:f>IF(AND(M277=1,K277="Sí",G277&gt;F277),1,0)</x:f>
        <x:v>0</x:v>
      </x:c>
      <x:c r="P277" t="n">
        <x:f>IF(AND(M277=1,I277&gt;0),1,0)</x:f>
        <x:v>0</x:v>
      </x:c>
      <x:c r="Q277" t="n">
        <x:f>IF(AND(B277&gt;=DATE(2026,7,1),B277&lt;=DATE(2026,9,30),G277&gt;=DATE(2026,10,1),G277&lt;=DATE(2026,10,7)),1,0)</x:f>
        <x:v>0</x:v>
      </x:c>
      <x:c r="R277" t="n">
        <x:f>IF(AND(B277&gt;=DATE(2026,7,1),B277&lt;=DATE(2026,9,30),G277&gt;DATE(2026,10,7)),1,0)</x:f>
        <x:v>0</x:v>
      </x:c>
      <x:c r="S277" t="n">
        <x:f>IF(AND(M277=1,J277&lt;&gt;"Ninguna"),1,0)</x:f>
        <x:v>1</x:v>
      </x:c>
    </x:row>
    <x:row r="278">
      <x:c r="A278" t="str">
        <x:v>PED-0277</x:v>
      </x:c>
      <x:c r="B278" s="12" t="n">
        <x:v>46253</x:v>
      </x:c>
      <x:c r="C278" t="str">
        <x:v>OfiPlus</x:v>
      </x:c>
      <x:c r="D278" t="str">
        <x:v>Consumibles</x:v>
      </x:c>
      <x:c r="E278" s="10" t="n">
        <x:v>2419.97</x:v>
      </x:c>
      <x:c r="F278" s="12" t="n">
        <x:v>46257</x:v>
      </x:c>
      <x:c r="G278" s="12" t="n">
        <x:v>46256</x:v>
      </x:c>
      <x:c r="H278" t="n">
        <x:v>399</x:v>
      </x:c>
      <x:c r="I278" t="n">
        <x:v>0</x:v>
      </x:c>
      <x:c r="J278" t="str">
        <x:v>Ninguna</x:v>
      </x:c>
      <x:c r="K278" t="str">
        <x:v>No</x:v>
      </x:c>
      <x:c r="L278" t="str">
        <x:v>Valencia</x:v>
      </x:c>
      <x:c r="M278" t="n">
        <x:f>IF(AND(B278&gt;=DATE(2026,7,1),B278&lt;=DATE(2026,9,30),G278&gt;=DATE(2026,7,1),G278&lt;=DATE(2026,9,30)),1,0)</x:f>
        <x:v>1</x:v>
      </x:c>
      <x:c r="N278" t="n">
        <x:f>IF(M278=1,IF(G278&lt;=F278,1,0),0)</x:f>
        <x:v>1</x:v>
      </x:c>
      <x:c r="O278" t="n">
        <x:f>IF(AND(M278=1,K278="Sí",G278&gt;F278),1,0)</x:f>
        <x:v>0</x:v>
      </x:c>
      <x:c r="P278" t="n">
        <x:f>IF(AND(M278=1,I278&gt;0),1,0)</x:f>
        <x:v>0</x:v>
      </x:c>
      <x:c r="Q278" t="n">
        <x:f>IF(AND(B278&gt;=DATE(2026,7,1),B278&lt;=DATE(2026,9,30),G278&gt;=DATE(2026,10,1),G278&lt;=DATE(2026,10,7)),1,0)</x:f>
        <x:v>0</x:v>
      </x:c>
      <x:c r="R278" t="n">
        <x:f>IF(AND(B278&gt;=DATE(2026,7,1),B278&lt;=DATE(2026,9,30),G278&gt;DATE(2026,10,7)),1,0)</x:f>
        <x:v>0</x:v>
      </x:c>
      <x:c r="S278" t="n">
        <x:f>IF(AND(M278=1,J278&lt;&gt;"Ninguna"),1,0)</x:f>
        <x:v>0</x:v>
      </x:c>
    </x:row>
    <x:row r="279">
      <x:c r="A279" t="str">
        <x:v>PED-0278</x:v>
      </x:c>
      <x:c r="B279" s="12" t="n">
        <x:v>46266</x:v>
      </x:c>
      <x:c r="C279" t="str">
        <x:v>OfiPlus</x:v>
      </x:c>
      <x:c r="D279" t="str">
        <x:v>Consumibles</x:v>
      </x:c>
      <x:c r="E279" s="10" t="n">
        <x:v>10005.98</x:v>
      </x:c>
      <x:c r="F279" s="12" t="n">
        <x:v>46271</x:v>
      </x:c>
      <x:c r="G279" s="12" t="n">
        <x:v>46271</x:v>
      </x:c>
      <x:c r="H279" t="n">
        <x:v>207</x:v>
      </x:c>
      <x:c r="I279" t="n">
        <x:v>0</x:v>
      </x:c>
      <x:c r="J279" t="str">
        <x:v>Ninguna</x:v>
      </x:c>
      <x:c r="K279" t="str">
        <x:v>No</x:v>
      </x:c>
      <x:c r="L279" t="str">
        <x:v>Valencia</x:v>
      </x:c>
      <x:c r="M279" t="n">
        <x:f>IF(AND(B279&gt;=DATE(2026,7,1),B279&lt;=DATE(2026,9,30),G279&gt;=DATE(2026,7,1),G279&lt;=DATE(2026,9,30)),1,0)</x:f>
        <x:v>1</x:v>
      </x:c>
      <x:c r="N279" t="n">
        <x:f>IF(M279=1,IF(G279&lt;=F279,1,0),0)</x:f>
        <x:v>1</x:v>
      </x:c>
      <x:c r="O279" t="n">
        <x:f>IF(AND(M279=1,K279="Sí",G279&gt;F279),1,0)</x:f>
        <x:v>0</x:v>
      </x:c>
      <x:c r="P279" t="n">
        <x:f>IF(AND(M279=1,I279&gt;0),1,0)</x:f>
        <x:v>0</x:v>
      </x:c>
      <x:c r="Q279" t="n">
        <x:f>IF(AND(B279&gt;=DATE(2026,7,1),B279&lt;=DATE(2026,9,30),G279&gt;=DATE(2026,10,1),G279&lt;=DATE(2026,10,7)),1,0)</x:f>
        <x:v>0</x:v>
      </x:c>
      <x:c r="R279" t="n">
        <x:f>IF(AND(B279&gt;=DATE(2026,7,1),B279&lt;=DATE(2026,9,30),G279&gt;DATE(2026,10,7)),1,0)</x:f>
        <x:v>0</x:v>
      </x:c>
      <x:c r="S279" t="n">
        <x:f>IF(AND(M279=1,J279&lt;&gt;"Ninguna"),1,0)</x:f>
        <x:v>0</x:v>
      </x:c>
    </x:row>
    <x:row r="280">
      <x:c r="A280" t="str">
        <x:v>PED-0279</x:v>
      </x:c>
      <x:c r="B280" s="12" t="n">
        <x:v>46283</x:v>
      </x:c>
      <x:c r="C280" t="str">
        <x:v>OfiPlus</x:v>
      </x:c>
      <x:c r="D280" t="str">
        <x:v>Consumibles</x:v>
      </x:c>
      <x:c r="E280" s="10" t="n">
        <x:v>18151.32</x:v>
      </x:c>
      <x:c r="F280" s="12" t="n">
        <x:v>46288</x:v>
      </x:c>
      <x:c r="G280" s="12" t="n">
        <x:v>46293</x:v>
      </x:c>
      <x:c r="H280" t="n">
        <x:v>364</x:v>
      </x:c>
      <x:c r="I280" t="n">
        <x:v>0</x:v>
      </x:c>
      <x:c r="J280" t="str">
        <x:v>Retraso</x:v>
      </x:c>
      <x:c r="K280" t="str">
        <x:v>No</x:v>
      </x:c>
      <x:c r="L280" t="str">
        <x:v>Zaragoza</x:v>
      </x:c>
      <x:c r="M280" t="n">
        <x:f>IF(AND(B280&gt;=DATE(2026,7,1),B280&lt;=DATE(2026,9,30),G280&gt;=DATE(2026,7,1),G280&lt;=DATE(2026,9,30)),1,0)</x:f>
        <x:v>1</x:v>
      </x:c>
      <x:c r="N280" t="n">
        <x:f>IF(M280=1,IF(G280&lt;=F280,1,0),0)</x:f>
        <x:v>0</x:v>
      </x:c>
      <x:c r="O280" t="n">
        <x:f>IF(AND(M280=1,K280="Sí",G280&gt;F280),1,0)</x:f>
        <x:v>0</x:v>
      </x:c>
      <x:c r="P280" t="n">
        <x:f>IF(AND(M280=1,I280&gt;0),1,0)</x:f>
        <x:v>0</x:v>
      </x:c>
      <x:c r="Q280" t="n">
        <x:f>IF(AND(B280&gt;=DATE(2026,7,1),B280&lt;=DATE(2026,9,30),G280&gt;=DATE(2026,10,1),G280&lt;=DATE(2026,10,7)),1,0)</x:f>
        <x:v>0</x:v>
      </x:c>
      <x:c r="R280" t="n">
        <x:f>IF(AND(B280&gt;=DATE(2026,7,1),B280&lt;=DATE(2026,9,30),G280&gt;DATE(2026,10,7)),1,0)</x:f>
        <x:v>0</x:v>
      </x:c>
      <x:c r="S280" t="n">
        <x:f>IF(AND(M280=1,J280&lt;&gt;"Ninguna"),1,0)</x:f>
        <x:v>1</x:v>
      </x:c>
    </x:row>
    <x:row r="281">
      <x:c r="A281" t="str">
        <x:v>PED-0280</x:v>
      </x:c>
      <x:c r="B281" s="12" t="n">
        <x:v>46215</x:v>
      </x:c>
      <x:c r="C281" t="str">
        <x:v>MecaParts</x:v>
      </x:c>
      <x:c r="D281" t="str">
        <x:v>Componentes mecánicos</x:v>
      </x:c>
      <x:c r="E281" s="10" t="n">
        <x:v>17037.14</x:v>
      </x:c>
      <x:c r="F281" s="12" t="n">
        <x:v>46223</x:v>
      </x:c>
      <x:c r="G281" s="12" t="n">
        <x:v>46223</x:v>
      </x:c>
      <x:c r="H281" t="n">
        <x:v>398</x:v>
      </x:c>
      <x:c r="I281" t="n">
        <x:v>0</x:v>
      </x:c>
      <x:c r="J281" t="str">
        <x:v>Ninguna</x:v>
      </x:c>
      <x:c r="K281" t="str">
        <x:v>No</x:v>
      </x:c>
      <x:c r="L281" t="str">
        <x:v>Barcelona</x:v>
      </x:c>
      <x:c r="M281" t="n">
        <x:f>IF(AND(B281&gt;=DATE(2026,7,1),B281&lt;=DATE(2026,9,30),G281&gt;=DATE(2026,7,1),G281&lt;=DATE(2026,9,30)),1,0)</x:f>
        <x:v>1</x:v>
      </x:c>
      <x:c r="N281" t="n">
        <x:f>IF(M281=1,IF(G281&lt;=F281,1,0),0)</x:f>
        <x:v>1</x:v>
      </x:c>
      <x:c r="O281" t="n">
        <x:f>IF(AND(M281=1,K281="Sí",G281&gt;F281),1,0)</x:f>
        <x:v>0</x:v>
      </x:c>
      <x:c r="P281" t="n">
        <x:f>IF(AND(M281=1,I281&gt;0),1,0)</x:f>
        <x:v>0</x:v>
      </x:c>
      <x:c r="Q281" t="n">
        <x:f>IF(AND(B281&gt;=DATE(2026,7,1),B281&lt;=DATE(2026,9,30),G281&gt;=DATE(2026,10,1),G281&lt;=DATE(2026,10,7)),1,0)</x:f>
        <x:v>0</x:v>
      </x:c>
      <x:c r="R281" t="n">
        <x:f>IF(AND(B281&gt;=DATE(2026,7,1),B281&lt;=DATE(2026,9,30),G281&gt;DATE(2026,10,7)),1,0)</x:f>
        <x:v>0</x:v>
      </x:c>
      <x:c r="S281" t="n">
        <x:f>IF(AND(M281=1,J281&lt;&gt;"Ninguna"),1,0)</x:f>
        <x:v>0</x:v>
      </x:c>
    </x:row>
    <x:row r="282">
      <x:c r="A282" t="str">
        <x:v>PED-0281</x:v>
      </x:c>
      <x:c r="B282" s="12" t="n">
        <x:v>46287</x:v>
      </x:c>
      <x:c r="C282" t="str">
        <x:v>MetalNova</x:v>
      </x:c>
      <x:c r="D282" t="str">
        <x:v>Materia prima</x:v>
      </x:c>
      <x:c r="E282" s="10" t="n">
        <x:v>15271.2</x:v>
      </x:c>
      <x:c r="F282" s="12" t="n">
        <x:v>46298</x:v>
      </x:c>
      <x:c r="G282" s="12" t="n">
        <x:v>46298</x:v>
      </x:c>
      <x:c r="H282" t="n">
        <x:v>327</x:v>
      </x:c>
      <x:c r="I282" t="n">
        <x:v>0</x:v>
      </x:c>
      <x:c r="J282" t="str">
        <x:v>Daño transporte</x:v>
      </x:c>
      <x:c r="K282" t="str">
        <x:v>No</x:v>
      </x:c>
      <x:c r="L282" t="str">
        <x:v>Valencia</x:v>
      </x:c>
      <x:c r="M282" t="n">
        <x:f>IF(AND(B282&gt;=DATE(2026,7,1),B282&lt;=DATE(2026,9,30),G282&gt;=DATE(2026,7,1),G282&lt;=DATE(2026,9,30)),1,0)</x:f>
        <x:v>0</x:v>
      </x:c>
      <x:c r="N282" t="n">
        <x:f>IF(M282=1,IF(G282&lt;=F282,1,0),0)</x:f>
        <x:v>0</x:v>
      </x:c>
      <x:c r="O282" t="n">
        <x:f>IF(AND(M282=1,K282="Sí",G282&gt;F282),1,0)</x:f>
        <x:v>0</x:v>
      </x:c>
      <x:c r="P282" t="n">
        <x:f>IF(AND(M282=1,I282&gt;0),1,0)</x:f>
        <x:v>0</x:v>
      </x:c>
      <x:c r="Q282" t="n">
        <x:f>IF(AND(B282&gt;=DATE(2026,7,1),B282&lt;=DATE(2026,9,30),G282&gt;=DATE(2026,10,1),G282&lt;=DATE(2026,10,7)),1,0)</x:f>
        <x:v>1</x:v>
      </x:c>
      <x:c r="R282" t="n">
        <x:f>IF(AND(B282&gt;=DATE(2026,7,1),B282&lt;=DATE(2026,9,30),G282&gt;DATE(2026,10,7)),1,0)</x:f>
        <x:v>0</x:v>
      </x:c>
      <x:c r="S282" t="n">
        <x:f>IF(AND(M282=1,J282&lt;&gt;"Ninguna"),1,0)</x:f>
        <x:v>0</x:v>
      </x:c>
    </x:row>
    <x:row r="283">
      <x:c r="A283" t="str">
        <x:v>PED-0282</x:v>
      </x:c>
      <x:c r="B283" s="12" t="n">
        <x:v>46225</x:v>
      </x:c>
      <x:c r="C283" t="str">
        <x:v>MecaParts</x:v>
      </x:c>
      <x:c r="D283" t="str">
        <x:v>Componentes mecánicos</x:v>
      </x:c>
      <x:c r="E283" s="10" t="n">
        <x:v>3385.45</x:v>
      </x:c>
      <x:c r="F283" s="12" t="n">
        <x:v>46234</x:v>
      </x:c>
      <x:c r="G283" s="12" t="n">
        <x:v>46237</x:v>
      </x:c>
      <x:c r="H283" t="n">
        <x:v>234</x:v>
      </x:c>
      <x:c r="I283" t="n">
        <x:v>0</x:v>
      </x:c>
      <x:c r="J283" t="str">
        <x:v>Ninguna</x:v>
      </x:c>
      <x:c r="K283" t="str">
        <x:v>Sí</x:v>
      </x:c>
      <x:c r="L283" t="str">
        <x:v>Valencia</x:v>
      </x:c>
      <x:c r="M283" t="n">
        <x:f>IF(AND(B283&gt;=DATE(2026,7,1),B283&lt;=DATE(2026,9,30),G283&gt;=DATE(2026,7,1),G283&lt;=DATE(2026,9,30)),1,0)</x:f>
        <x:v>1</x:v>
      </x:c>
      <x:c r="N283" t="n">
        <x:f>IF(M283=1,IF(G283&lt;=F283,1,0),0)</x:f>
        <x:v>0</x:v>
      </x:c>
      <x:c r="O283" t="n">
        <x:f>IF(AND(M283=1,K283="Sí",G283&gt;F283),1,0)</x:f>
        <x:v>1</x:v>
      </x:c>
      <x:c r="P283" t="n">
        <x:f>IF(AND(M283=1,I283&gt;0),1,0)</x:f>
        <x:v>0</x:v>
      </x:c>
      <x:c r="Q283" t="n">
        <x:f>IF(AND(B283&gt;=DATE(2026,7,1),B283&lt;=DATE(2026,9,30),G283&gt;=DATE(2026,10,1),G283&lt;=DATE(2026,10,7)),1,0)</x:f>
        <x:v>0</x:v>
      </x:c>
      <x:c r="R283" t="n">
        <x:f>IF(AND(B283&gt;=DATE(2026,7,1),B283&lt;=DATE(2026,9,30),G283&gt;DATE(2026,10,7)),1,0)</x:f>
        <x:v>0</x:v>
      </x:c>
      <x:c r="S283" t="n">
        <x:f>IF(AND(M283=1,J283&lt;&gt;"Ninguna"),1,0)</x:f>
        <x:v>0</x:v>
      </x:c>
    </x:row>
    <x:row r="284">
      <x:c r="A284" t="str">
        <x:v>PED-0283</x:v>
      </x:c>
      <x:c r="B284" s="12" t="n">
        <x:v>46240</x:v>
      </x:c>
      <x:c r="C284" t="str">
        <x:v>ElectraSupply</x:v>
      </x:c>
      <x:c r="D284" t="str">
        <x:v>Componentes eléctricos</x:v>
      </x:c>
      <x:c r="E284" s="10" t="n">
        <x:v>15826.71</x:v>
      </x:c>
      <x:c r="F284" s="12" t="n">
        <x:v>46253</x:v>
      </x:c>
      <x:c r="G284" s="12" t="n">
        <x:v>46256</x:v>
      </x:c>
      <x:c r="H284" t="n">
        <x:v>345</x:v>
      </x:c>
      <x:c r="I284" t="n">
        <x:v>0</x:v>
      </x:c>
      <x:c r="J284" t="str">
        <x:v>Ninguna</x:v>
      </x:c>
      <x:c r="K284" t="str">
        <x:v>No</x:v>
      </x:c>
      <x:c r="L284" t="str">
        <x:v>Valencia</x:v>
      </x:c>
      <x:c r="M284" t="n">
        <x:f>IF(AND(B284&gt;=DATE(2026,7,1),B284&lt;=DATE(2026,9,30),G284&gt;=DATE(2026,7,1),G284&lt;=DATE(2026,9,30)),1,0)</x:f>
        <x:v>1</x:v>
      </x:c>
      <x:c r="N284" t="n">
        <x:f>IF(M284=1,IF(G284&lt;=F284,1,0),0)</x:f>
        <x:v>0</x:v>
      </x:c>
      <x:c r="O284" t="n">
        <x:f>IF(AND(M284=1,K284="Sí",G284&gt;F284),1,0)</x:f>
        <x:v>0</x:v>
      </x:c>
      <x:c r="P284" t="n">
        <x:f>IF(AND(M284=1,I284&gt;0),1,0)</x:f>
        <x:v>0</x:v>
      </x:c>
      <x:c r="Q284" t="n">
        <x:f>IF(AND(B284&gt;=DATE(2026,7,1),B284&lt;=DATE(2026,9,30),G284&gt;=DATE(2026,10,1),G284&lt;=DATE(2026,10,7)),1,0)</x:f>
        <x:v>0</x:v>
      </x:c>
      <x:c r="R284" t="n">
        <x:f>IF(AND(B284&gt;=DATE(2026,7,1),B284&lt;=DATE(2026,9,30),G284&gt;DATE(2026,10,7)),1,0)</x:f>
        <x:v>0</x:v>
      </x:c>
      <x:c r="S284" t="n">
        <x:f>IF(AND(M284=1,J284&lt;&gt;"Ninguna"),1,0)</x:f>
        <x:v>0</x:v>
      </x:c>
    </x:row>
    <x:row r="285">
      <x:c r="A285" t="str">
        <x:v>PED-0284</x:v>
      </x:c>
      <x:c r="B285" s="12" t="n">
        <x:v>46276</x:v>
      </x:c>
      <x:c r="C285" t="str">
        <x:v>MecaParts</x:v>
      </x:c>
      <x:c r="D285" t="str">
        <x:v>Componentes mecánicos</x:v>
      </x:c>
      <x:c r="E285" s="10" t="n">
        <x:v>5751.95</x:v>
      </x:c>
      <x:c r="F285" s="12" t="n">
        <x:v>46285</x:v>
      </x:c>
      <x:c r="G285" s="12" t="n">
        <x:v>46293</x:v>
      </x:c>
      <x:c r="H285" t="n">
        <x:v>125</x:v>
      </x:c>
      <x:c r="I285" t="n">
        <x:v>0</x:v>
      </x:c>
      <x:c r="J285" t="str">
        <x:v>Ninguna</x:v>
      </x:c>
      <x:c r="K285" t="str">
        <x:v>No</x:v>
      </x:c>
      <x:c r="L285" t="str">
        <x:v>Barcelona</x:v>
      </x:c>
      <x:c r="M285" t="n">
        <x:f>IF(AND(B285&gt;=DATE(2026,7,1),B285&lt;=DATE(2026,9,30),G285&gt;=DATE(2026,7,1),G285&lt;=DATE(2026,9,30)),1,0)</x:f>
        <x:v>1</x:v>
      </x:c>
      <x:c r="N285" t="n">
        <x:f>IF(M285=1,IF(G285&lt;=F285,1,0),0)</x:f>
        <x:v>0</x:v>
      </x:c>
      <x:c r="O285" t="n">
        <x:f>IF(AND(M285=1,K285="Sí",G285&gt;F285),1,0)</x:f>
        <x:v>0</x:v>
      </x:c>
      <x:c r="P285" t="n">
        <x:f>IF(AND(M285=1,I285&gt;0),1,0)</x:f>
        <x:v>0</x:v>
      </x:c>
      <x:c r="Q285" t="n">
        <x:f>IF(AND(B285&gt;=DATE(2026,7,1),B285&lt;=DATE(2026,9,30),G285&gt;=DATE(2026,10,1),G285&lt;=DATE(2026,10,7)),1,0)</x:f>
        <x:v>0</x:v>
      </x:c>
      <x:c r="R285" t="n">
        <x:f>IF(AND(B285&gt;=DATE(2026,7,1),B285&lt;=DATE(2026,9,30),G285&gt;DATE(2026,10,7)),1,0)</x:f>
        <x:v>0</x:v>
      </x:c>
      <x:c r="S285" t="n">
        <x:f>IF(AND(M285=1,J285&lt;&gt;"Ninguna"),1,0)</x:f>
        <x:v>0</x:v>
      </x:c>
    </x:row>
    <x:row r="286">
      <x:c r="A286" t="str">
        <x:v>PED-0285</x:v>
      </x:c>
      <x:c r="B286" s="12" t="n">
        <x:v>46225</x:v>
      </x:c>
      <x:c r="C286" t="str">
        <x:v>MetalNova</x:v>
      </x:c>
      <x:c r="D286" t="str">
        <x:v>Componentes mecánicos</x:v>
      </x:c>
      <x:c r="E286" s="10" t="n">
        <x:v>14815.64</x:v>
      </x:c>
      <x:c r="F286" s="12" t="n">
        <x:v>46236</x:v>
      </x:c>
      <x:c r="G286" s="12" t="n">
        <x:v>46236</x:v>
      </x:c>
      <x:c r="H286" t="n">
        <x:v>353</x:v>
      </x:c>
      <x:c r="I286" t="n">
        <x:v>0</x:v>
      </x:c>
      <x:c r="J286" t="str">
        <x:v>Cantidad incorrecta</x:v>
      </x:c>
      <x:c r="K286" t="str">
        <x:v>No</x:v>
      </x:c>
      <x:c r="L286" t="str">
        <x:v>Zaragoza</x:v>
      </x:c>
      <x:c r="M286" t="n">
        <x:f>IF(AND(B286&gt;=DATE(2026,7,1),B286&lt;=DATE(2026,9,30),G286&gt;=DATE(2026,7,1),G286&lt;=DATE(2026,9,30)),1,0)</x:f>
        <x:v>1</x:v>
      </x:c>
      <x:c r="N286" t="n">
        <x:f>IF(M286=1,IF(G286&lt;=F286,1,0),0)</x:f>
        <x:v>1</x:v>
      </x:c>
      <x:c r="O286" t="n">
        <x:f>IF(AND(M286=1,K286="Sí",G286&gt;F286),1,0)</x:f>
        <x:v>0</x:v>
      </x:c>
      <x:c r="P286" t="n">
        <x:f>IF(AND(M286=1,I286&gt;0),1,0)</x:f>
        <x:v>0</x:v>
      </x:c>
      <x:c r="Q286" t="n">
        <x:f>IF(AND(B286&gt;=DATE(2026,7,1),B286&lt;=DATE(2026,9,30),G286&gt;=DATE(2026,10,1),G286&lt;=DATE(2026,10,7)),1,0)</x:f>
        <x:v>0</x:v>
      </x:c>
      <x:c r="R286" t="n">
        <x:f>IF(AND(B286&gt;=DATE(2026,7,1),B286&lt;=DATE(2026,9,30),G286&gt;DATE(2026,10,7)),1,0)</x:f>
        <x:v>0</x:v>
      </x:c>
      <x:c r="S286" t="n">
        <x:f>IF(AND(M286=1,J286&lt;&gt;"Ninguna"),1,0)</x:f>
        <x:v>1</x:v>
      </x:c>
    </x:row>
    <x:row r="287">
      <x:c r="A287" t="str">
        <x:v>PED-0286</x:v>
      </x:c>
      <x:c r="B287" s="12" t="n">
        <x:v>46268</x:v>
      </x:c>
      <x:c r="C287" t="str">
        <x:v>ElectraSupply</x:v>
      </x:c>
      <x:c r="D287" t="str">
        <x:v>Componentes eléctricos</x:v>
      </x:c>
      <x:c r="E287" s="10" t="n">
        <x:v>2274.62</x:v>
      </x:c>
      <x:c r="F287" s="12" t="n">
        <x:v>46282</x:v>
      </x:c>
      <x:c r="G287" s="12" t="n">
        <x:v>46287</x:v>
      </x:c>
      <x:c r="H287" t="n">
        <x:v>45</x:v>
      </x:c>
      <x:c r="I287" t="n">
        <x:v>0</x:v>
      </x:c>
      <x:c r="J287" t="str">
        <x:v>Ninguna</x:v>
      </x:c>
      <x:c r="K287" t="str">
        <x:v>No</x:v>
      </x:c>
      <x:c r="L287" t="str">
        <x:v>Valencia</x:v>
      </x:c>
      <x:c r="M287" t="n">
        <x:f>IF(AND(B287&gt;=DATE(2026,7,1),B287&lt;=DATE(2026,9,30),G287&gt;=DATE(2026,7,1),G287&lt;=DATE(2026,9,30)),1,0)</x:f>
        <x:v>1</x:v>
      </x:c>
      <x:c r="N287" t="n">
        <x:f>IF(M287=1,IF(G287&lt;=F287,1,0),0)</x:f>
        <x:v>0</x:v>
      </x:c>
      <x:c r="O287" t="n">
        <x:f>IF(AND(M287=1,K287="Sí",G287&gt;F287),1,0)</x:f>
        <x:v>0</x:v>
      </x:c>
      <x:c r="P287" t="n">
        <x:f>IF(AND(M287=1,I287&gt;0),1,0)</x:f>
        <x:v>0</x:v>
      </x:c>
      <x:c r="Q287" t="n">
        <x:f>IF(AND(B287&gt;=DATE(2026,7,1),B287&lt;=DATE(2026,9,30),G287&gt;=DATE(2026,10,1),G287&lt;=DATE(2026,10,7)),1,0)</x:f>
        <x:v>0</x:v>
      </x:c>
      <x:c r="R287" t="n">
        <x:f>IF(AND(B287&gt;=DATE(2026,7,1),B287&lt;=DATE(2026,9,30),G287&gt;DATE(2026,10,7)),1,0)</x:f>
        <x:v>0</x:v>
      </x:c>
      <x:c r="S287" t="n">
        <x:f>IF(AND(M287=1,J287&lt;&gt;"Ninguna"),1,0)</x:f>
        <x:v>0</x:v>
      </x:c>
    </x:row>
    <x:row r="288">
      <x:c r="A288" t="str">
        <x:v>PED-0287</x:v>
      </x:c>
      <x:c r="B288" s="12" t="n">
        <x:v>46213</x:v>
      </x:c>
      <x:c r="C288" t="str">
        <x:v>ElectraSupply</x:v>
      </x:c>
      <x:c r="D288" t="str">
        <x:v>Componentes eléctricos</x:v>
      </x:c>
      <x:c r="E288" s="10" t="n">
        <x:v>14766.63</x:v>
      </x:c>
      <x:c r="F288" s="12" t="n">
        <x:v>46225</x:v>
      </x:c>
      <x:c r="G288" s="12" t="n">
        <x:v>46227</x:v>
      </x:c>
      <x:c r="H288" t="n">
        <x:v>333</x:v>
      </x:c>
      <x:c r="I288" t="n">
        <x:v>0</x:v>
      </x:c>
      <x:c r="J288" t="str">
        <x:v>Ninguna</x:v>
      </x:c>
      <x:c r="K288" t="str">
        <x:v>No</x:v>
      </x:c>
      <x:c r="L288" t="str">
        <x:v>Valencia</x:v>
      </x:c>
      <x:c r="M288" t="n">
        <x:f>IF(AND(B288&gt;=DATE(2026,7,1),B288&lt;=DATE(2026,9,30),G288&gt;=DATE(2026,7,1),G288&lt;=DATE(2026,9,30)),1,0)</x:f>
        <x:v>1</x:v>
      </x:c>
      <x:c r="N288" t="n">
        <x:f>IF(M288=1,IF(G288&lt;=F288,1,0),0)</x:f>
        <x:v>0</x:v>
      </x:c>
      <x:c r="O288" t="n">
        <x:f>IF(AND(M288=1,K288="Sí",G288&gt;F288),1,0)</x:f>
        <x:v>0</x:v>
      </x:c>
      <x:c r="P288" t="n">
        <x:f>IF(AND(M288=1,I288&gt;0),1,0)</x:f>
        <x:v>0</x:v>
      </x:c>
      <x:c r="Q288" t="n">
        <x:f>IF(AND(B288&gt;=DATE(2026,7,1),B288&lt;=DATE(2026,9,30),G288&gt;=DATE(2026,10,1),G288&lt;=DATE(2026,10,7)),1,0)</x:f>
        <x:v>0</x:v>
      </x:c>
      <x:c r="R288" t="n">
        <x:f>IF(AND(B288&gt;=DATE(2026,7,1),B288&lt;=DATE(2026,9,30),G288&gt;DATE(2026,10,7)),1,0)</x:f>
        <x:v>0</x:v>
      </x:c>
      <x:c r="S288" t="n">
        <x:f>IF(AND(M288=1,J288&lt;&gt;"Ninguna"),1,0)</x:f>
        <x:v>0</x:v>
      </x:c>
    </x:row>
    <x:row r="289">
      <x:c r="A289" t="str">
        <x:v>PED-0288</x:v>
      </x:c>
      <x:c r="B289" s="12" t="n">
        <x:v>46272</x:v>
      </x:c>
      <x:c r="C289" t="str">
        <x:v>ElectraSupply</x:v>
      </x:c>
      <x:c r="D289" t="str">
        <x:v>Componentes eléctricos</x:v>
      </x:c>
      <x:c r="E289" s="10" t="n">
        <x:v>3096.02</x:v>
      </x:c>
      <x:c r="F289" s="12" t="n">
        <x:v>46285</x:v>
      </x:c>
      <x:c r="G289" s="12" t="n">
        <x:v>46288</x:v>
      </x:c>
      <x:c r="H289" t="n">
        <x:v>360</x:v>
      </x:c>
      <x:c r="I289" t="n">
        <x:v>0</x:v>
      </x:c>
      <x:c r="J289" t="str">
        <x:v>Ninguna</x:v>
      </x:c>
      <x:c r="K289" t="str">
        <x:v>No</x:v>
      </x:c>
      <x:c r="L289" t="str">
        <x:v>Valencia</x:v>
      </x:c>
      <x:c r="M289" t="n">
        <x:f>IF(AND(B289&gt;=DATE(2026,7,1),B289&lt;=DATE(2026,9,30),G289&gt;=DATE(2026,7,1),G289&lt;=DATE(2026,9,30)),1,0)</x:f>
        <x:v>1</x:v>
      </x:c>
      <x:c r="N289" t="n">
        <x:f>IF(M289=1,IF(G289&lt;=F289,1,0),0)</x:f>
        <x:v>0</x:v>
      </x:c>
      <x:c r="O289" t="n">
        <x:f>IF(AND(M289=1,K289="Sí",G289&gt;F289),1,0)</x:f>
        <x:v>0</x:v>
      </x:c>
      <x:c r="P289" t="n">
        <x:f>IF(AND(M289=1,I289&gt;0),1,0)</x:f>
        <x:v>0</x:v>
      </x:c>
      <x:c r="Q289" t="n">
        <x:f>IF(AND(B289&gt;=DATE(2026,7,1),B289&lt;=DATE(2026,9,30),G289&gt;=DATE(2026,10,1),G289&lt;=DATE(2026,10,7)),1,0)</x:f>
        <x:v>0</x:v>
      </x:c>
      <x:c r="R289" t="n">
        <x:f>IF(AND(B289&gt;=DATE(2026,7,1),B289&lt;=DATE(2026,9,30),G289&gt;DATE(2026,10,7)),1,0)</x:f>
        <x:v>0</x:v>
      </x:c>
      <x:c r="S289" t="n">
        <x:f>IF(AND(M289=1,J289&lt;&gt;"Ninguna"),1,0)</x:f>
        <x:v>0</x:v>
      </x:c>
    </x:row>
    <x:row r="290">
      <x:c r="A290" t="str">
        <x:v>PED-0289</x:v>
      </x:c>
      <x:c r="B290" s="12" t="n">
        <x:v>46239</x:v>
      </x:c>
      <x:c r="C290" t="str">
        <x:v>MetalNova</x:v>
      </x:c>
      <x:c r="D290" t="str">
        <x:v>Materia prima</x:v>
      </x:c>
      <x:c r="E290" s="10" t="n">
        <x:v>7308.85</x:v>
      </x:c>
      <x:c r="F290" s="12" t="n">
        <x:v>46248</x:v>
      </x:c>
      <x:c r="G290" s="12" t="n">
        <x:v>46249</x:v>
      </x:c>
      <x:c r="H290" t="n">
        <x:v>366</x:v>
      </x:c>
      <x:c r="I290" t="n">
        <x:v>11</x:v>
      </x:c>
      <x:c r="J290" t="str">
        <x:v>Calidad</x:v>
      </x:c>
      <x:c r="K290" t="str">
        <x:v>No</x:v>
      </x:c>
      <x:c r="L290" t="str">
        <x:v>Valencia</x:v>
      </x:c>
      <x:c r="M290" t="n">
        <x:f>IF(AND(B290&gt;=DATE(2026,7,1),B290&lt;=DATE(2026,9,30),G290&gt;=DATE(2026,7,1),G290&lt;=DATE(2026,9,30)),1,0)</x:f>
        <x:v>1</x:v>
      </x:c>
      <x:c r="N290" t="n">
        <x:f>IF(M290=1,IF(G290&lt;=F290,1,0),0)</x:f>
        <x:v>0</x:v>
      </x:c>
      <x:c r="O290" t="n">
        <x:f>IF(AND(M290=1,K290="Sí",G290&gt;F290),1,0)</x:f>
        <x:v>0</x:v>
      </x:c>
      <x:c r="P290" t="n">
        <x:f>IF(AND(M290=1,I290&gt;0),1,0)</x:f>
        <x:v>1</x:v>
      </x:c>
      <x:c r="Q290" t="n">
        <x:f>IF(AND(B290&gt;=DATE(2026,7,1),B290&lt;=DATE(2026,9,30),G290&gt;=DATE(2026,10,1),G290&lt;=DATE(2026,10,7)),1,0)</x:f>
        <x:v>0</x:v>
      </x:c>
      <x:c r="R290" t="n">
        <x:f>IF(AND(B290&gt;=DATE(2026,7,1),B290&lt;=DATE(2026,9,30),G290&gt;DATE(2026,10,7)),1,0)</x:f>
        <x:v>0</x:v>
      </x:c>
      <x:c r="S290" t="n">
        <x:f>IF(AND(M290=1,J290&lt;&gt;"Ninguna"),1,0)</x:f>
        <x:v>1</x:v>
      </x:c>
    </x:row>
    <x:row r="291">
      <x:c r="A291" t="str">
        <x:v>PED-0290</x:v>
      </x:c>
      <x:c r="B291" s="12" t="n">
        <x:v>46212</x:v>
      </x:c>
      <x:c r="C291" t="str">
        <x:v>MetalNova</x:v>
      </x:c>
      <x:c r="D291" t="str">
        <x:v>Materia prima</x:v>
      </x:c>
      <x:c r="E291" s="10" t="n">
        <x:v>18786.56</x:v>
      </x:c>
      <x:c r="F291" s="12" t="n">
        <x:v>46224</x:v>
      </x:c>
      <x:c r="G291" s="12" t="n">
        <x:v>46225</x:v>
      </x:c>
      <x:c r="H291" t="n">
        <x:v>377</x:v>
      </x:c>
      <x:c r="I291" t="n">
        <x:v>0</x:v>
      </x:c>
      <x:c r="J291" t="str">
        <x:v>Ninguna</x:v>
      </x:c>
      <x:c r="K291" t="str">
        <x:v>No</x:v>
      </x:c>
      <x:c r="L291" t="str">
        <x:v>Valencia</x:v>
      </x:c>
      <x:c r="M291" t="n">
        <x:f>IF(AND(B291&gt;=DATE(2026,7,1),B291&lt;=DATE(2026,9,30),G291&gt;=DATE(2026,7,1),G291&lt;=DATE(2026,9,30)),1,0)</x:f>
        <x:v>1</x:v>
      </x:c>
      <x:c r="N291" t="n">
        <x:f>IF(M291=1,IF(G291&lt;=F291,1,0),0)</x:f>
        <x:v>0</x:v>
      </x:c>
      <x:c r="O291" t="n">
        <x:f>IF(AND(M291=1,K291="Sí",G291&gt;F291),1,0)</x:f>
        <x:v>0</x:v>
      </x:c>
      <x:c r="P291" t="n">
        <x:f>IF(AND(M291=1,I291&gt;0),1,0)</x:f>
        <x:v>0</x:v>
      </x:c>
      <x:c r="Q291" t="n">
        <x:f>IF(AND(B291&gt;=DATE(2026,7,1),B291&lt;=DATE(2026,9,30),G291&gt;=DATE(2026,10,1),G291&lt;=DATE(2026,10,7)),1,0)</x:f>
        <x:v>0</x:v>
      </x:c>
      <x:c r="R291" t="n">
        <x:f>IF(AND(B291&gt;=DATE(2026,7,1),B291&lt;=DATE(2026,9,30),G291&gt;DATE(2026,10,7)),1,0)</x:f>
        <x:v>0</x:v>
      </x:c>
      <x:c r="S291" t="n">
        <x:f>IF(AND(M291=1,J291&lt;&gt;"Ninguna"),1,0)</x:f>
        <x:v>0</x:v>
      </x:c>
    </x:row>
    <x:row r="292">
      <x:c r="A292" t="str">
        <x:v>PED-0291</x:v>
      </x:c>
      <x:c r="B292" s="12" t="n">
        <x:v>46231</x:v>
      </x:c>
      <x:c r="C292" t="str">
        <x:v>PackPro</x:v>
      </x:c>
      <x:c r="D292" t="str">
        <x:v>Embalaje</x:v>
      </x:c>
      <x:c r="E292" s="10" t="n">
        <x:v>8680.91</x:v>
      </x:c>
      <x:c r="F292" s="12" t="n">
        <x:v>46238</x:v>
      </x:c>
      <x:c r="G292" s="12" t="n">
        <x:v>46236</x:v>
      </x:c>
      <x:c r="H292" t="n">
        <x:v>382</x:v>
      </x:c>
      <x:c r="I292" t="n">
        <x:v>0</x:v>
      </x:c>
      <x:c r="J292" t="str">
        <x:v>Daño transporte</x:v>
      </x:c>
      <x:c r="K292" t="str">
        <x:v>No</x:v>
      </x:c>
      <x:c r="L292" t="str">
        <x:v>Barcelona</x:v>
      </x:c>
      <x:c r="M292" t="n">
        <x:f>IF(AND(B292&gt;=DATE(2026,7,1),B292&lt;=DATE(2026,9,30),G292&gt;=DATE(2026,7,1),G292&lt;=DATE(2026,9,30)),1,0)</x:f>
        <x:v>1</x:v>
      </x:c>
      <x:c r="N292" t="n">
        <x:f>IF(M292=1,IF(G292&lt;=F292,1,0),0)</x:f>
        <x:v>1</x:v>
      </x:c>
      <x:c r="O292" t="n">
        <x:f>IF(AND(M292=1,K292="Sí",G292&gt;F292),1,0)</x:f>
        <x:v>0</x:v>
      </x:c>
      <x:c r="P292" t="n">
        <x:f>IF(AND(M292=1,I292&gt;0),1,0)</x:f>
        <x:v>0</x:v>
      </x:c>
      <x:c r="Q292" t="n">
        <x:f>IF(AND(B292&gt;=DATE(2026,7,1),B292&lt;=DATE(2026,9,30),G292&gt;=DATE(2026,10,1),G292&lt;=DATE(2026,10,7)),1,0)</x:f>
        <x:v>0</x:v>
      </x:c>
      <x:c r="R292" t="n">
        <x:f>IF(AND(B292&gt;=DATE(2026,7,1),B292&lt;=DATE(2026,9,30),G292&gt;DATE(2026,10,7)),1,0)</x:f>
        <x:v>0</x:v>
      </x:c>
      <x:c r="S292" t="n">
        <x:f>IF(AND(M292=1,J292&lt;&gt;"Ninguna"),1,0)</x:f>
        <x:v>1</x:v>
      </x:c>
    </x:row>
    <x:row r="293">
      <x:c r="A293" t="str">
        <x:v>PED-0292</x:v>
      </x:c>
      <x:c r="B293" s="12" t="n">
        <x:v>46272</x:v>
      </x:c>
      <x:c r="C293" t="str">
        <x:v>MetalNova</x:v>
      </x:c>
      <x:c r="D293" t="str">
        <x:v>Componentes mecánicos</x:v>
      </x:c>
      <x:c r="E293" s="10" t="n">
        <x:v>1114.96</x:v>
      </x:c>
      <x:c r="F293" s="12" t="n">
        <x:v>46284</x:v>
      </x:c>
      <x:c r="G293" s="12" t="n">
        <x:v>46282</x:v>
      </x:c>
      <x:c r="H293" t="n">
        <x:v>213</x:v>
      </x:c>
      <x:c r="I293" t="n">
        <x:v>0</x:v>
      </x:c>
      <x:c r="J293" t="str">
        <x:v>Ninguna</x:v>
      </x:c>
      <x:c r="K293" t="str">
        <x:v>No</x:v>
      </x:c>
      <x:c r="L293" t="str">
        <x:v>Barcelona</x:v>
      </x:c>
      <x:c r="M293" t="n">
        <x:f>IF(AND(B293&gt;=DATE(2026,7,1),B293&lt;=DATE(2026,9,30),G293&gt;=DATE(2026,7,1),G293&lt;=DATE(2026,9,30)),1,0)</x:f>
        <x:v>1</x:v>
      </x:c>
      <x:c r="N293" t="n">
        <x:f>IF(M293=1,IF(G293&lt;=F293,1,0),0)</x:f>
        <x:v>1</x:v>
      </x:c>
      <x:c r="O293" t="n">
        <x:f>IF(AND(M293=1,K293="Sí",G293&gt;F293),1,0)</x:f>
        <x:v>0</x:v>
      </x:c>
      <x:c r="P293" t="n">
        <x:f>IF(AND(M293=1,I293&gt;0),1,0)</x:f>
        <x:v>0</x:v>
      </x:c>
      <x:c r="Q293" t="n">
        <x:f>IF(AND(B293&gt;=DATE(2026,7,1),B293&lt;=DATE(2026,9,30),G293&gt;=DATE(2026,10,1),G293&lt;=DATE(2026,10,7)),1,0)</x:f>
        <x:v>0</x:v>
      </x:c>
      <x:c r="R293" t="n">
        <x:f>IF(AND(B293&gt;=DATE(2026,7,1),B293&lt;=DATE(2026,9,30),G293&gt;DATE(2026,10,7)),1,0)</x:f>
        <x:v>0</x:v>
      </x:c>
      <x:c r="S293" t="n">
        <x:f>IF(AND(M293=1,J293&lt;&gt;"Ninguna"),1,0)</x:f>
        <x:v>0</x:v>
      </x:c>
    </x:row>
    <x:row r="294">
      <x:c r="A294" t="str">
        <x:v>PED-0293</x:v>
      </x:c>
      <x:c r="B294" s="12" t="n">
        <x:v>46239</x:v>
      </x:c>
      <x:c r="C294" t="str">
        <x:v>PackPro</x:v>
      </x:c>
      <x:c r="D294" t="str">
        <x:v>Embalaje</x:v>
      </x:c>
      <x:c r="E294" s="10" t="n">
        <x:v>10814.3</x:v>
      </x:c>
      <x:c r="F294" s="12" t="n">
        <x:v>46244</x:v>
      </x:c>
      <x:c r="G294" s="12" t="n">
        <x:v>46253</x:v>
      </x:c>
      <x:c r="H294" t="n">
        <x:v>385</x:v>
      </x:c>
      <x:c r="I294" t="n">
        <x:v>0</x:v>
      </x:c>
      <x:c r="J294" t="str">
        <x:v>Retraso</x:v>
      </x:c>
      <x:c r="K294" t="str">
        <x:v>No</x:v>
      </x:c>
      <x:c r="L294" t="str">
        <x:v>Barcelona</x:v>
      </x:c>
      <x:c r="M294" t="n">
        <x:f>IF(AND(B294&gt;=DATE(2026,7,1),B294&lt;=DATE(2026,9,30),G294&gt;=DATE(2026,7,1),G294&lt;=DATE(2026,9,30)),1,0)</x:f>
        <x:v>1</x:v>
      </x:c>
      <x:c r="N294" t="n">
        <x:f>IF(M294=1,IF(G294&lt;=F294,1,0),0)</x:f>
        <x:v>0</x:v>
      </x:c>
      <x:c r="O294" t="n">
        <x:f>IF(AND(M294=1,K294="Sí",G294&gt;F294),1,0)</x:f>
        <x:v>0</x:v>
      </x:c>
      <x:c r="P294" t="n">
        <x:f>IF(AND(M294=1,I294&gt;0),1,0)</x:f>
        <x:v>0</x:v>
      </x:c>
      <x:c r="Q294" t="n">
        <x:f>IF(AND(B294&gt;=DATE(2026,7,1),B294&lt;=DATE(2026,9,30),G294&gt;=DATE(2026,10,1),G294&lt;=DATE(2026,10,7)),1,0)</x:f>
        <x:v>0</x:v>
      </x:c>
      <x:c r="R294" t="n">
        <x:f>IF(AND(B294&gt;=DATE(2026,7,1),B294&lt;=DATE(2026,9,30),G294&gt;DATE(2026,10,7)),1,0)</x:f>
        <x:v>0</x:v>
      </x:c>
      <x:c r="S294" t="n">
        <x:f>IF(AND(M294=1,J294&lt;&gt;"Ninguna"),1,0)</x:f>
        <x:v>1</x:v>
      </x:c>
    </x:row>
    <x:row r="295">
      <x:c r="A295" t="str">
        <x:v>PED-0294</x:v>
      </x:c>
      <x:c r="B295" s="12" t="n">
        <x:v>46251</x:v>
      </x:c>
      <x:c r="C295" t="str">
        <x:v>MecaParts</x:v>
      </x:c>
      <x:c r="D295" t="str">
        <x:v>Componentes mecánicos</x:v>
      </x:c>
      <x:c r="E295" s="10" t="n">
        <x:v>4813.98</x:v>
      </x:c>
      <x:c r="F295" s="12" t="n">
        <x:v>46260</x:v>
      </x:c>
      <x:c r="G295" s="12" t="n">
        <x:v>46258</x:v>
      </x:c>
      <x:c r="H295" t="n">
        <x:v>309</x:v>
      </x:c>
      <x:c r="I295" t="n">
        <x:v>0</x:v>
      </x:c>
      <x:c r="J295" t="str">
        <x:v>Ninguna</x:v>
      </x:c>
      <x:c r="K295" t="str">
        <x:v>No</x:v>
      </x:c>
      <x:c r="L295" t="str">
        <x:v>Barcelona</x:v>
      </x:c>
      <x:c r="M295" t="n">
        <x:f>IF(AND(B295&gt;=DATE(2026,7,1),B295&lt;=DATE(2026,9,30),G295&gt;=DATE(2026,7,1),G295&lt;=DATE(2026,9,30)),1,0)</x:f>
        <x:v>1</x:v>
      </x:c>
      <x:c r="N295" t="n">
        <x:f>IF(M295=1,IF(G295&lt;=F295,1,0),0)</x:f>
        <x:v>1</x:v>
      </x:c>
      <x:c r="O295" t="n">
        <x:f>IF(AND(M295=1,K295="Sí",G295&gt;F295),1,0)</x:f>
        <x:v>0</x:v>
      </x:c>
      <x:c r="P295" t="n">
        <x:f>IF(AND(M295=1,I295&gt;0),1,0)</x:f>
        <x:v>0</x:v>
      </x:c>
      <x:c r="Q295" t="n">
        <x:f>IF(AND(B295&gt;=DATE(2026,7,1),B295&lt;=DATE(2026,9,30),G295&gt;=DATE(2026,10,1),G295&lt;=DATE(2026,10,7)),1,0)</x:f>
        <x:v>0</x:v>
      </x:c>
      <x:c r="R295" t="n">
        <x:f>IF(AND(B295&gt;=DATE(2026,7,1),B295&lt;=DATE(2026,9,30),G295&gt;DATE(2026,10,7)),1,0)</x:f>
        <x:v>0</x:v>
      </x:c>
      <x:c r="S295" t="n">
        <x:f>IF(AND(M295=1,J295&lt;&gt;"Ninguna"),1,0)</x:f>
        <x:v>0</x:v>
      </x:c>
    </x:row>
    <x:row r="296">
      <x:c r="A296" t="str">
        <x:v>PED-0295</x:v>
      </x:c>
      <x:c r="B296" s="12" t="n">
        <x:v>46226</x:v>
      </x:c>
      <x:c r="C296" t="str">
        <x:v>ElectraSupply</x:v>
      </x:c>
      <x:c r="D296" t="str">
        <x:v>Componentes eléctricos</x:v>
      </x:c>
      <x:c r="E296" s="10" t="n">
        <x:v>3951.7</x:v>
      </x:c>
      <x:c r="F296" s="12" t="n">
        <x:v>46237</x:v>
      </x:c>
      <x:c r="G296" s="12" t="n">
        <x:v>46239</x:v>
      </x:c>
      <x:c r="H296" t="n">
        <x:v>139</x:v>
      </x:c>
      <x:c r="I296" t="n">
        <x:v>0</x:v>
      </x:c>
      <x:c r="J296" t="str">
        <x:v>Ninguna</x:v>
      </x:c>
      <x:c r="K296" t="str">
        <x:v>No</x:v>
      </x:c>
      <x:c r="L296" t="str">
        <x:v>Valencia</x:v>
      </x:c>
      <x:c r="M296" t="n">
        <x:f>IF(AND(B296&gt;=DATE(2026,7,1),B296&lt;=DATE(2026,9,30),G296&gt;=DATE(2026,7,1),G296&lt;=DATE(2026,9,30)),1,0)</x:f>
        <x:v>1</x:v>
      </x:c>
      <x:c r="N296" t="n">
        <x:f>IF(M296=1,IF(G296&lt;=F296,1,0),0)</x:f>
        <x:v>0</x:v>
      </x:c>
      <x:c r="O296" t="n">
        <x:f>IF(AND(M296=1,K296="Sí",G296&gt;F296),1,0)</x:f>
        <x:v>0</x:v>
      </x:c>
      <x:c r="P296" t="n">
        <x:f>IF(AND(M296=1,I296&gt;0),1,0)</x:f>
        <x:v>0</x:v>
      </x:c>
      <x:c r="Q296" t="n">
        <x:f>IF(AND(B296&gt;=DATE(2026,7,1),B296&lt;=DATE(2026,9,30),G296&gt;=DATE(2026,10,1),G296&lt;=DATE(2026,10,7)),1,0)</x:f>
        <x:v>0</x:v>
      </x:c>
      <x:c r="R296" t="n">
        <x:f>IF(AND(B296&gt;=DATE(2026,7,1),B296&lt;=DATE(2026,9,30),G296&gt;DATE(2026,10,7)),1,0)</x:f>
        <x:v>0</x:v>
      </x:c>
      <x:c r="S296" t="n">
        <x:f>IF(AND(M296=1,J296&lt;&gt;"Ninguna"),1,0)</x:f>
        <x:v>0</x:v>
      </x:c>
    </x:row>
    <x:row r="297">
      <x:c r="A297" t="str">
        <x:v>PED-0296</x:v>
      </x:c>
      <x:c r="B297" s="12" t="n">
        <x:v>46206</x:v>
      </x:c>
      <x:c r="C297" t="str">
        <x:v>MetalNova</x:v>
      </x:c>
      <x:c r="D297" t="str">
        <x:v>Componentes mecánicos</x:v>
      </x:c>
      <x:c r="E297" s="10" t="n">
        <x:v>16640.63</x:v>
      </x:c>
      <x:c r="F297" s="12" t="n">
        <x:v>46218</x:v>
      </x:c>
      <x:c r="G297" s="12" t="n">
        <x:v>46218</x:v>
      </x:c>
      <x:c r="H297" t="n">
        <x:v>378</x:v>
      </x:c>
      <x:c r="I297" t="n">
        <x:v>0</x:v>
      </x:c>
      <x:c r="J297" t="str">
        <x:v>Ninguna</x:v>
      </x:c>
      <x:c r="K297" t="str">
        <x:v>No</x:v>
      </x:c>
      <x:c r="L297" t="str">
        <x:v>Barcelona</x:v>
      </x:c>
      <x:c r="M297" t="n">
        <x:f>IF(AND(B297&gt;=DATE(2026,7,1),B297&lt;=DATE(2026,9,30),G297&gt;=DATE(2026,7,1),G297&lt;=DATE(2026,9,30)),1,0)</x:f>
        <x:v>1</x:v>
      </x:c>
      <x:c r="N297" t="n">
        <x:f>IF(M297=1,IF(G297&lt;=F297,1,0),0)</x:f>
        <x:v>1</x:v>
      </x:c>
      <x:c r="O297" t="n">
        <x:f>IF(AND(M297=1,K297="Sí",G297&gt;F297),1,0)</x:f>
        <x:v>0</x:v>
      </x:c>
      <x:c r="P297" t="n">
        <x:f>IF(AND(M297=1,I297&gt;0),1,0)</x:f>
        <x:v>0</x:v>
      </x:c>
      <x:c r="Q297" t="n">
        <x:f>IF(AND(B297&gt;=DATE(2026,7,1),B297&lt;=DATE(2026,9,30),G297&gt;=DATE(2026,10,1),G297&lt;=DATE(2026,10,7)),1,0)</x:f>
        <x:v>0</x:v>
      </x:c>
      <x:c r="R297" t="n">
        <x:f>IF(AND(B297&gt;=DATE(2026,7,1),B297&lt;=DATE(2026,9,30),G297&gt;DATE(2026,10,7)),1,0)</x:f>
        <x:v>0</x:v>
      </x:c>
      <x:c r="S297" t="n">
        <x:f>IF(AND(M297=1,J297&lt;&gt;"Ninguna"),1,0)</x:f>
        <x:v>0</x:v>
      </x:c>
    </x:row>
    <x:row r="298">
      <x:c r="A298" t="str">
        <x:v>PED-0297</x:v>
      </x:c>
      <x:c r="B298" s="12" t="n">
        <x:v>46234</x:v>
      </x:c>
      <x:c r="C298" t="str">
        <x:v>MetalNova</x:v>
      </x:c>
      <x:c r="D298" t="str">
        <x:v>Componentes mecánicos</x:v>
      </x:c>
      <x:c r="E298" s="10" t="n">
        <x:v>3654.55</x:v>
      </x:c>
      <x:c r="F298" s="12" t="n">
        <x:v>46243</x:v>
      </x:c>
      <x:c r="G298" s="12" t="n">
        <x:v>46241</x:v>
      </x:c>
      <x:c r="H298" t="n">
        <x:v>108</x:v>
      </x:c>
      <x:c r="I298" t="n">
        <x:v>0</x:v>
      </x:c>
      <x:c r="J298" t="str">
        <x:v>Ninguna</x:v>
      </x:c>
      <x:c r="K298" t="str">
        <x:v>No</x:v>
      </x:c>
      <x:c r="L298" t="str">
        <x:v>Barcelona</x:v>
      </x:c>
      <x:c r="M298" t="n">
        <x:f>IF(AND(B298&gt;=DATE(2026,7,1),B298&lt;=DATE(2026,9,30),G298&gt;=DATE(2026,7,1),G298&lt;=DATE(2026,9,30)),1,0)</x:f>
        <x:v>1</x:v>
      </x:c>
      <x:c r="N298" t="n">
        <x:f>IF(M298=1,IF(G298&lt;=F298,1,0),0)</x:f>
        <x:v>1</x:v>
      </x:c>
      <x:c r="O298" t="n">
        <x:f>IF(AND(M298=1,K298="Sí",G298&gt;F298),1,0)</x:f>
        <x:v>0</x:v>
      </x:c>
      <x:c r="P298" t="n">
        <x:f>IF(AND(M298=1,I298&gt;0),1,0)</x:f>
        <x:v>0</x:v>
      </x:c>
      <x:c r="Q298" t="n">
        <x:f>IF(AND(B298&gt;=DATE(2026,7,1),B298&lt;=DATE(2026,9,30),G298&gt;=DATE(2026,10,1),G298&lt;=DATE(2026,10,7)),1,0)</x:f>
        <x:v>0</x:v>
      </x:c>
      <x:c r="R298" t="n">
        <x:f>IF(AND(B298&gt;=DATE(2026,7,1),B298&lt;=DATE(2026,9,30),G298&gt;DATE(2026,10,7)),1,0)</x:f>
        <x:v>0</x:v>
      </x:c>
      <x:c r="S298" t="n">
        <x:f>IF(AND(M298=1,J298&lt;&gt;"Ninguna"),1,0)</x:f>
        <x:v>0</x:v>
      </x:c>
    </x:row>
    <x:row r="299">
      <x:c r="A299" t="str">
        <x:v>PED-0298</x:v>
      </x:c>
      <x:c r="B299" s="12" t="n">
        <x:v>46237</x:v>
      </x:c>
      <x:c r="C299" t="str">
        <x:v>PackPro</x:v>
      </x:c>
      <x:c r="D299" t="str">
        <x:v>Embalaje</x:v>
      </x:c>
      <x:c r="E299" s="10" t="n">
        <x:v>17983.28</x:v>
      </x:c>
      <x:c r="F299" s="12" t="n">
        <x:v>46243</x:v>
      </x:c>
      <x:c r="G299" s="12" t="n">
        <x:v>46243</x:v>
      </x:c>
      <x:c r="H299" t="n">
        <x:v>389</x:v>
      </x:c>
      <x:c r="I299" t="n">
        <x:v>0</x:v>
      </x:c>
      <x:c r="J299" t="str">
        <x:v>Ninguna</x:v>
      </x:c>
      <x:c r="K299" t="str">
        <x:v>No</x:v>
      </x:c>
      <x:c r="L299" t="str">
        <x:v>Zaragoza</x:v>
      </x:c>
      <x:c r="M299" t="n">
        <x:f>IF(AND(B299&gt;=DATE(2026,7,1),B299&lt;=DATE(2026,9,30),G299&gt;=DATE(2026,7,1),G299&lt;=DATE(2026,9,30)),1,0)</x:f>
        <x:v>1</x:v>
      </x:c>
      <x:c r="N299" t="n">
        <x:f>IF(M299=1,IF(G299&lt;=F299,1,0),0)</x:f>
        <x:v>1</x:v>
      </x:c>
      <x:c r="O299" t="n">
        <x:f>IF(AND(M299=1,K299="Sí",G299&gt;F299),1,0)</x:f>
        <x:v>0</x:v>
      </x:c>
      <x:c r="P299" t="n">
        <x:f>IF(AND(M299=1,I299&gt;0),1,0)</x:f>
        <x:v>0</x:v>
      </x:c>
      <x:c r="Q299" t="n">
        <x:f>IF(AND(B299&gt;=DATE(2026,7,1),B299&lt;=DATE(2026,9,30),G299&gt;=DATE(2026,10,1),G299&lt;=DATE(2026,10,7)),1,0)</x:f>
        <x:v>0</x:v>
      </x:c>
      <x:c r="R299" t="n">
        <x:f>IF(AND(B299&gt;=DATE(2026,7,1),B299&lt;=DATE(2026,9,30),G299&gt;DATE(2026,10,7)),1,0)</x:f>
        <x:v>0</x:v>
      </x:c>
      <x:c r="S299" t="n">
        <x:f>IF(AND(M299=1,J299&lt;&gt;"Ninguna"),1,0)</x:f>
        <x:v>0</x:v>
      </x:c>
    </x:row>
    <x:row r="300">
      <x:c r="A300" t="str">
        <x:v>PED-0299</x:v>
      </x:c>
      <x:c r="B300" s="12" t="n">
        <x:v>46273</x:v>
      </x:c>
      <x:c r="C300" t="str">
        <x:v>MecaParts</x:v>
      </x:c>
      <x:c r="D300" t="str">
        <x:v>Componentes mecánicos</x:v>
      </x:c>
      <x:c r="E300" s="10" t="n">
        <x:v>10268.75</x:v>
      </x:c>
      <x:c r="F300" s="12" t="n">
        <x:v>46283</x:v>
      </x:c>
      <x:c r="G300" s="12" t="n">
        <x:v>46290</x:v>
      </x:c>
      <x:c r="H300" t="n">
        <x:v>240</x:v>
      </x:c>
      <x:c r="I300" t="n">
        <x:v>0</x:v>
      </x:c>
      <x:c r="J300" t="str">
        <x:v>Retraso</x:v>
      </x:c>
      <x:c r="K300" t="str">
        <x:v>No</x:v>
      </x:c>
      <x:c r="L300" t="str">
        <x:v>Barcelona</x:v>
      </x:c>
      <x:c r="M300" t="n">
        <x:f>IF(AND(B300&gt;=DATE(2026,7,1),B300&lt;=DATE(2026,9,30),G300&gt;=DATE(2026,7,1),G300&lt;=DATE(2026,9,30)),1,0)</x:f>
        <x:v>1</x:v>
      </x:c>
      <x:c r="N300" t="n">
        <x:f>IF(M300=1,IF(G300&lt;=F300,1,0),0)</x:f>
        <x:v>0</x:v>
      </x:c>
      <x:c r="O300" t="n">
        <x:f>IF(AND(M300=1,K300="Sí",G300&gt;F300),1,0)</x:f>
        <x:v>0</x:v>
      </x:c>
      <x:c r="P300" t="n">
        <x:f>IF(AND(M300=1,I300&gt;0),1,0)</x:f>
        <x:v>0</x:v>
      </x:c>
      <x:c r="Q300" t="n">
        <x:f>IF(AND(B300&gt;=DATE(2026,7,1),B300&lt;=DATE(2026,9,30),G300&gt;=DATE(2026,10,1),G300&lt;=DATE(2026,10,7)),1,0)</x:f>
        <x:v>0</x:v>
      </x:c>
      <x:c r="R300" t="n">
        <x:f>IF(AND(B300&gt;=DATE(2026,7,1),B300&lt;=DATE(2026,9,30),G300&gt;DATE(2026,10,7)),1,0)</x:f>
        <x:v>0</x:v>
      </x:c>
      <x:c r="S300" t="n">
        <x:f>IF(AND(M300=1,J300&lt;&gt;"Ninguna"),1,0)</x:f>
        <x:v>1</x:v>
      </x:c>
    </x:row>
    <x:row r="301">
      <x:c r="A301" t="str">
        <x:v>PED-0300</x:v>
      </x:c>
      <x:c r="B301" s="12" t="n">
        <x:v>46227</x:v>
      </x:c>
      <x:c r="C301" t="str">
        <x:v>OfiPlus</x:v>
      </x:c>
      <x:c r="D301" t="str">
        <x:v>Consumibles</x:v>
      </x:c>
      <x:c r="E301" s="10" t="n">
        <x:v>6496.45</x:v>
      </x:c>
      <x:c r="F301" s="12" t="n">
        <x:v>46233</x:v>
      </x:c>
      <x:c r="G301" s="12" t="n">
        <x:v>46235</x:v>
      </x:c>
      <x:c r="H301" t="n">
        <x:v>312</x:v>
      </x:c>
      <x:c r="I301" t="n">
        <x:v>0</x:v>
      </x:c>
      <x:c r="J301" t="str">
        <x:v>Ninguna</x:v>
      </x:c>
      <x:c r="K301" t="str">
        <x:v>No</x:v>
      </x:c>
      <x:c r="L301" t="str">
        <x:v>Valencia</x:v>
      </x:c>
      <x:c r="M301" t="n">
        <x:f>IF(AND(B301&gt;=DATE(2026,7,1),B301&lt;=DATE(2026,9,30),G301&gt;=DATE(2026,7,1),G301&lt;=DATE(2026,9,30)),1,0)</x:f>
        <x:v>1</x:v>
      </x:c>
      <x:c r="N301" t="n">
        <x:f>IF(M301=1,IF(G301&lt;=F301,1,0),0)</x:f>
        <x:v>0</x:v>
      </x:c>
      <x:c r="O301" t="n">
        <x:f>IF(AND(M301=1,K301="Sí",G301&gt;F301),1,0)</x:f>
        <x:v>0</x:v>
      </x:c>
      <x:c r="P301" t="n">
        <x:f>IF(AND(M301=1,I301&gt;0),1,0)</x:f>
        <x:v>0</x:v>
      </x:c>
      <x:c r="Q301" t="n">
        <x:f>IF(AND(B301&gt;=DATE(2026,7,1),B301&lt;=DATE(2026,9,30),G301&gt;=DATE(2026,10,1),G301&lt;=DATE(2026,10,7)),1,0)</x:f>
        <x:v>0</x:v>
      </x:c>
      <x:c r="R301" t="n">
        <x:f>IF(AND(B301&gt;=DATE(2026,7,1),B301&lt;=DATE(2026,9,30),G301&gt;DATE(2026,10,7)),1,0)</x:f>
        <x:v>0</x:v>
      </x:c>
      <x:c r="S301" t="n">
        <x:f>IF(AND(M301=1,J301&lt;&gt;"Ninguna"),1,0)</x:f>
        <x:v>0</x:v>
      </x:c>
    </x:row>
    <x:row r="302">
      <x:c r="A302" t="str">
        <x:v>PED-0301</x:v>
      </x:c>
      <x:c r="B302" s="12" t="n">
        <x:v>46215</x:v>
      </x:c>
      <x:c r="C302" t="str">
        <x:v>MetalNova</x:v>
      </x:c>
      <x:c r="D302" t="str">
        <x:v>Materia prima</x:v>
      </x:c>
      <x:c r="E302" s="10" t="n">
        <x:v>4029.49</x:v>
      </x:c>
      <x:c r="F302" s="12" t="n">
        <x:v>46227</x:v>
      </x:c>
      <x:c r="G302" s="12" t="n">
        <x:v>46228</x:v>
      </x:c>
      <x:c r="H302" t="n">
        <x:v>91</x:v>
      </x:c>
      <x:c r="I302" t="n">
        <x:v>0</x:v>
      </x:c>
      <x:c r="J302" t="str">
        <x:v>Ninguna</x:v>
      </x:c>
      <x:c r="K302" t="str">
        <x:v>No</x:v>
      </x:c>
      <x:c r="L302" t="str">
        <x:v>Barcelona</x:v>
      </x:c>
      <x:c r="M302" t="n">
        <x:f>IF(AND(B302&gt;=DATE(2026,7,1),B302&lt;=DATE(2026,9,30),G302&gt;=DATE(2026,7,1),G302&lt;=DATE(2026,9,30)),1,0)</x:f>
        <x:v>1</x:v>
      </x:c>
      <x:c r="N302" t="n">
        <x:f>IF(M302=1,IF(G302&lt;=F302,1,0),0)</x:f>
        <x:v>0</x:v>
      </x:c>
      <x:c r="O302" t="n">
        <x:f>IF(AND(M302=1,K302="Sí",G302&gt;F302),1,0)</x:f>
        <x:v>0</x:v>
      </x:c>
      <x:c r="P302" t="n">
        <x:f>IF(AND(M302=1,I302&gt;0),1,0)</x:f>
        <x:v>0</x:v>
      </x:c>
      <x:c r="Q302" t="n">
        <x:f>IF(AND(B302&gt;=DATE(2026,7,1),B302&lt;=DATE(2026,9,30),G302&gt;=DATE(2026,10,1),G302&lt;=DATE(2026,10,7)),1,0)</x:f>
        <x:v>0</x:v>
      </x:c>
      <x:c r="R302" t="n">
        <x:f>IF(AND(B302&gt;=DATE(2026,7,1),B302&lt;=DATE(2026,9,30),G302&gt;DATE(2026,10,7)),1,0)</x:f>
        <x:v>0</x:v>
      </x:c>
      <x:c r="S302" t="n">
        <x:f>IF(AND(M302=1,J302&lt;&gt;"Ninguna"),1,0)</x:f>
        <x:v>0</x:v>
      </x:c>
    </x:row>
    <x:row r="303">
      <x:c r="A303" t="str">
        <x:v>PED-0302</x:v>
      </x:c>
      <x:c r="B303" s="12" t="n">
        <x:v>46214</x:v>
      </x:c>
      <x:c r="C303" t="str">
        <x:v>OfiPlus</x:v>
      </x:c>
      <x:c r="D303" t="str">
        <x:v>Consumibles</x:v>
      </x:c>
      <x:c r="E303" s="10" t="n">
        <x:v>502.09</x:v>
      </x:c>
      <x:c r="F303" s="12" t="n">
        <x:v>46220</x:v>
      </x:c>
      <x:c r="G303" s="12" t="n">
        <x:v>46221</x:v>
      </x:c>
      <x:c r="H303" t="n">
        <x:v>96</x:v>
      </x:c>
      <x:c r="I303" t="n">
        <x:v>0</x:v>
      </x:c>
      <x:c r="J303" t="str">
        <x:v>Ninguna</x:v>
      </x:c>
      <x:c r="K303" t="str">
        <x:v>No</x:v>
      </x:c>
      <x:c r="L303" t="str">
        <x:v>Zaragoza</x:v>
      </x:c>
      <x:c r="M303" t="n">
        <x:f>IF(AND(B303&gt;=DATE(2026,7,1),B303&lt;=DATE(2026,9,30),G303&gt;=DATE(2026,7,1),G303&lt;=DATE(2026,9,30)),1,0)</x:f>
        <x:v>1</x:v>
      </x:c>
      <x:c r="N303" t="n">
        <x:f>IF(M303=1,IF(G303&lt;=F303,1,0),0)</x:f>
        <x:v>0</x:v>
      </x:c>
      <x:c r="O303" t="n">
        <x:f>IF(AND(M303=1,K303="Sí",G303&gt;F303),1,0)</x:f>
        <x:v>0</x:v>
      </x:c>
      <x:c r="P303" t="n">
        <x:f>IF(AND(M303=1,I303&gt;0),1,0)</x:f>
        <x:v>0</x:v>
      </x:c>
      <x:c r="Q303" t="n">
        <x:f>IF(AND(B303&gt;=DATE(2026,7,1),B303&lt;=DATE(2026,9,30),G303&gt;=DATE(2026,10,1),G303&lt;=DATE(2026,10,7)),1,0)</x:f>
        <x:v>0</x:v>
      </x:c>
      <x:c r="R303" t="n">
        <x:f>IF(AND(B303&gt;=DATE(2026,7,1),B303&lt;=DATE(2026,9,30),G303&gt;DATE(2026,10,7)),1,0)</x:f>
        <x:v>0</x:v>
      </x:c>
      <x:c r="S303" t="n">
        <x:f>IF(AND(M303=1,J303&lt;&gt;"Ninguna"),1,0)</x:f>
        <x:v>0</x:v>
      </x:c>
    </x:row>
    <x:row r="304">
      <x:c r="A304" t="str">
        <x:v>PED-0303</x:v>
      </x:c>
      <x:c r="B304" s="12" t="n">
        <x:v>46288</x:v>
      </x:c>
      <x:c r="C304" t="str">
        <x:v>OfiPlus</x:v>
      </x:c>
      <x:c r="D304" t="str">
        <x:v>Consumibles</x:v>
      </x:c>
      <x:c r="E304" s="10" t="n">
        <x:v>6293.51</x:v>
      </x:c>
      <x:c r="F304" s="12" t="n">
        <x:v>46293</x:v>
      </x:c>
      <x:c r="G304" s="12" t="n">
        <x:v>46291</x:v>
      </x:c>
      <x:c r="H304" t="n">
        <x:v>346</x:v>
      </x:c>
      <x:c r="I304" t="n">
        <x:v>0</x:v>
      </x:c>
      <x:c r="J304" t="str">
        <x:v>Ninguna</x:v>
      </x:c>
      <x:c r="K304" t="str">
        <x:v>No</x:v>
      </x:c>
      <x:c r="L304" t="str">
        <x:v>Zaragoza</x:v>
      </x:c>
      <x:c r="M304" t="n">
        <x:f>IF(AND(B304&gt;=DATE(2026,7,1),B304&lt;=DATE(2026,9,30),G304&gt;=DATE(2026,7,1),G304&lt;=DATE(2026,9,30)),1,0)</x:f>
        <x:v>1</x:v>
      </x:c>
      <x:c r="N304" t="n">
        <x:f>IF(M304=1,IF(G304&lt;=F304,1,0),0)</x:f>
        <x:v>1</x:v>
      </x:c>
      <x:c r="O304" t="n">
        <x:f>IF(AND(M304=1,K304="Sí",G304&gt;F304),1,0)</x:f>
        <x:v>0</x:v>
      </x:c>
      <x:c r="P304" t="n">
        <x:f>IF(AND(M304=1,I304&gt;0),1,0)</x:f>
        <x:v>0</x:v>
      </x:c>
      <x:c r="Q304" t="n">
        <x:f>IF(AND(B304&gt;=DATE(2026,7,1),B304&lt;=DATE(2026,9,30),G304&gt;=DATE(2026,10,1),G304&lt;=DATE(2026,10,7)),1,0)</x:f>
        <x:v>0</x:v>
      </x:c>
      <x:c r="R304" t="n">
        <x:f>IF(AND(B304&gt;=DATE(2026,7,1),B304&lt;=DATE(2026,9,30),G304&gt;DATE(2026,10,7)),1,0)</x:f>
        <x:v>0</x:v>
      </x:c>
      <x:c r="S304" t="n">
        <x:f>IF(AND(M304=1,J304&lt;&gt;"Ninguna"),1,0)</x:f>
        <x:v>0</x:v>
      </x:c>
    </x:row>
    <x:row r="305">
      <x:c r="A305" t="str">
        <x:v>PED-0304</x:v>
      </x:c>
      <x:c r="B305" s="12" t="n">
        <x:v>46242</x:v>
      </x:c>
      <x:c r="C305" t="str">
        <x:v>MetalNova</x:v>
      </x:c>
      <x:c r="D305" t="str">
        <x:v>Componentes mecánicos</x:v>
      </x:c>
      <x:c r="E305" s="10" t="n">
        <x:v>9443.73</x:v>
      </x:c>
      <x:c r="F305" s="12" t="n">
        <x:v>46251</x:v>
      </x:c>
      <x:c r="G305" s="12" t="n">
        <x:v>46249</x:v>
      </x:c>
      <x:c r="H305" t="n">
        <x:v>269</x:v>
      </x:c>
      <x:c r="I305" t="n">
        <x:v>0</x:v>
      </x:c>
      <x:c r="J305" t="str">
        <x:v>Ninguna</x:v>
      </x:c>
      <x:c r="K305" t="str">
        <x:v>No</x:v>
      </x:c>
      <x:c r="L305" t="str">
        <x:v>Valencia</x:v>
      </x:c>
      <x:c r="M305" t="n">
        <x:f>IF(AND(B305&gt;=DATE(2026,7,1),B305&lt;=DATE(2026,9,30),G305&gt;=DATE(2026,7,1),G305&lt;=DATE(2026,9,30)),1,0)</x:f>
        <x:v>1</x:v>
      </x:c>
      <x:c r="N305" t="n">
        <x:f>IF(M305=1,IF(G305&lt;=F305,1,0),0)</x:f>
        <x:v>1</x:v>
      </x:c>
      <x:c r="O305" t="n">
        <x:f>IF(AND(M305=1,K305="Sí",G305&gt;F305),1,0)</x:f>
        <x:v>0</x:v>
      </x:c>
      <x:c r="P305" t="n">
        <x:f>IF(AND(M305=1,I305&gt;0),1,0)</x:f>
        <x:v>0</x:v>
      </x:c>
      <x:c r="Q305" t="n">
        <x:f>IF(AND(B305&gt;=DATE(2026,7,1),B305&lt;=DATE(2026,9,30),G305&gt;=DATE(2026,10,1),G305&lt;=DATE(2026,10,7)),1,0)</x:f>
        <x:v>0</x:v>
      </x:c>
      <x:c r="R305" t="n">
        <x:f>IF(AND(B305&gt;=DATE(2026,7,1),B305&lt;=DATE(2026,9,30),G305&gt;DATE(2026,10,7)),1,0)</x:f>
        <x:v>0</x:v>
      </x:c>
      <x:c r="S305" t="n">
        <x:f>IF(AND(M305=1,J305&lt;&gt;"Ninguna"),1,0)</x:f>
        <x:v>0</x:v>
      </x:c>
    </x:row>
    <x:row r="306">
      <x:c r="A306" t="str">
        <x:v>PED-0305</x:v>
      </x:c>
      <x:c r="B306" s="12" t="n">
        <x:v>46254</x:v>
      </x:c>
      <x:c r="C306" t="str">
        <x:v>ElectraSupply</x:v>
      </x:c>
      <x:c r="D306" t="str">
        <x:v>Componentes eléctricos</x:v>
      </x:c>
      <x:c r="E306" s="10" t="n">
        <x:v>1555.59</x:v>
      </x:c>
      <x:c r="F306" s="12" t="n">
        <x:v>46266</x:v>
      </x:c>
      <x:c r="G306" s="12" t="n">
        <x:v>46272</x:v>
      </x:c>
      <x:c r="H306" t="n">
        <x:v>58</x:v>
      </x:c>
      <x:c r="I306" t="n">
        <x:v>0</x:v>
      </x:c>
      <x:c r="J306" t="str">
        <x:v>Daño transporte</x:v>
      </x:c>
      <x:c r="K306" t="str">
        <x:v>No</x:v>
      </x:c>
      <x:c r="L306" t="str">
        <x:v>Barcelona</x:v>
      </x:c>
      <x:c r="M306" t="n">
        <x:f>IF(AND(B306&gt;=DATE(2026,7,1),B306&lt;=DATE(2026,9,30),G306&gt;=DATE(2026,7,1),G306&lt;=DATE(2026,9,30)),1,0)</x:f>
        <x:v>1</x:v>
      </x:c>
      <x:c r="N306" t="n">
        <x:f>IF(M306=1,IF(G306&lt;=F306,1,0),0)</x:f>
        <x:v>0</x:v>
      </x:c>
      <x:c r="O306" t="n">
        <x:f>IF(AND(M306=1,K306="Sí",G306&gt;F306),1,0)</x:f>
        <x:v>0</x:v>
      </x:c>
      <x:c r="P306" t="n">
        <x:f>IF(AND(M306=1,I306&gt;0),1,0)</x:f>
        <x:v>0</x:v>
      </x:c>
      <x:c r="Q306" t="n">
        <x:f>IF(AND(B306&gt;=DATE(2026,7,1),B306&lt;=DATE(2026,9,30),G306&gt;=DATE(2026,10,1),G306&lt;=DATE(2026,10,7)),1,0)</x:f>
        <x:v>0</x:v>
      </x:c>
      <x:c r="R306" t="n">
        <x:f>IF(AND(B306&gt;=DATE(2026,7,1),B306&lt;=DATE(2026,9,30),G306&gt;DATE(2026,10,7)),1,0)</x:f>
        <x:v>0</x:v>
      </x:c>
      <x:c r="S306" t="n">
        <x:f>IF(AND(M306=1,J306&lt;&gt;"Ninguna"),1,0)</x:f>
        <x:v>1</x:v>
      </x:c>
    </x:row>
    <x:row r="307">
      <x:c r="A307" t="str">
        <x:v>PED-0306</x:v>
      </x:c>
      <x:c r="B307" s="12" t="n">
        <x:v>46230</x:v>
      </x:c>
      <x:c r="C307" t="str">
        <x:v>MecaParts</x:v>
      </x:c>
      <x:c r="D307" t="str">
        <x:v>Componentes mecánicos</x:v>
      </x:c>
      <x:c r="E307" s="10" t="n">
        <x:v>358.84</x:v>
      </x:c>
      <x:c r="F307" s="12" t="n">
        <x:v>46238</x:v>
      </x:c>
      <x:c r="G307" s="12" t="n">
        <x:v>46237</x:v>
      </x:c>
      <x:c r="H307" t="n">
        <x:v>27</x:v>
      </x:c>
      <x:c r="I307" t="n">
        <x:v>0</x:v>
      </x:c>
      <x:c r="J307" t="str">
        <x:v>Daño transporte</x:v>
      </x:c>
      <x:c r="K307" t="str">
        <x:v>No</x:v>
      </x:c>
      <x:c r="L307" t="str">
        <x:v>Barcelona</x:v>
      </x:c>
      <x:c r="M307" t="n">
        <x:f>IF(AND(B307&gt;=DATE(2026,7,1),B307&lt;=DATE(2026,9,30),G307&gt;=DATE(2026,7,1),G307&lt;=DATE(2026,9,30)),1,0)</x:f>
        <x:v>1</x:v>
      </x:c>
      <x:c r="N307" t="n">
        <x:f>IF(M307=1,IF(G307&lt;=F307,1,0),0)</x:f>
        <x:v>1</x:v>
      </x:c>
      <x:c r="O307" t="n">
        <x:f>IF(AND(M307=1,K307="Sí",G307&gt;F307),1,0)</x:f>
        <x:v>0</x:v>
      </x:c>
      <x:c r="P307" t="n">
        <x:f>IF(AND(M307=1,I307&gt;0),1,0)</x:f>
        <x:v>0</x:v>
      </x:c>
      <x:c r="Q307" t="n">
        <x:f>IF(AND(B307&gt;=DATE(2026,7,1),B307&lt;=DATE(2026,9,30),G307&gt;=DATE(2026,10,1),G307&lt;=DATE(2026,10,7)),1,0)</x:f>
        <x:v>0</x:v>
      </x:c>
      <x:c r="R307" t="n">
        <x:f>IF(AND(B307&gt;=DATE(2026,7,1),B307&lt;=DATE(2026,9,30),G307&gt;DATE(2026,10,7)),1,0)</x:f>
        <x:v>0</x:v>
      </x:c>
      <x:c r="S307" t="n">
        <x:f>IF(AND(M307=1,J307&lt;&gt;"Ninguna"),1,0)</x:f>
        <x:v>1</x:v>
      </x:c>
    </x:row>
    <x:row r="308">
      <x:c r="A308" t="str">
        <x:v>PED-0307</x:v>
      </x:c>
      <x:c r="B308" s="12" t="n">
        <x:v>46270</x:v>
      </x:c>
      <x:c r="C308" t="str">
        <x:v>MecaParts</x:v>
      </x:c>
      <x:c r="D308" t="str">
        <x:v>Componentes mecánicos</x:v>
      </x:c>
      <x:c r="E308" s="10" t="n">
        <x:v>4019.34</x:v>
      </x:c>
      <x:c r="F308" s="12" t="n">
        <x:v>46280</x:v>
      </x:c>
      <x:c r="G308" s="12" t="n">
        <x:v>46282</x:v>
      </x:c>
      <x:c r="H308" t="n">
        <x:v>351</x:v>
      </x:c>
      <x:c r="I308" t="n">
        <x:v>0</x:v>
      </x:c>
      <x:c r="J308" t="str">
        <x:v>Ninguna</x:v>
      </x:c>
      <x:c r="K308" t="str">
        <x:v>No</x:v>
      </x:c>
      <x:c r="L308" t="str">
        <x:v>Valencia</x:v>
      </x:c>
      <x:c r="M308" t="n">
        <x:f>IF(AND(B308&gt;=DATE(2026,7,1),B308&lt;=DATE(2026,9,30),G308&gt;=DATE(2026,7,1),G308&lt;=DATE(2026,9,30)),1,0)</x:f>
        <x:v>1</x:v>
      </x:c>
      <x:c r="N308" t="n">
        <x:f>IF(M308=1,IF(G308&lt;=F308,1,0),0)</x:f>
        <x:v>0</x:v>
      </x:c>
      <x:c r="O308" t="n">
        <x:f>IF(AND(M308=1,K308="Sí",G308&gt;F308),1,0)</x:f>
        <x:v>0</x:v>
      </x:c>
      <x:c r="P308" t="n">
        <x:f>IF(AND(M308=1,I308&gt;0),1,0)</x:f>
        <x:v>0</x:v>
      </x:c>
      <x:c r="Q308" t="n">
        <x:f>IF(AND(B308&gt;=DATE(2026,7,1),B308&lt;=DATE(2026,9,30),G308&gt;=DATE(2026,10,1),G308&lt;=DATE(2026,10,7)),1,0)</x:f>
        <x:v>0</x:v>
      </x:c>
      <x:c r="R308" t="n">
        <x:f>IF(AND(B308&gt;=DATE(2026,7,1),B308&lt;=DATE(2026,9,30),G308&gt;DATE(2026,10,7)),1,0)</x:f>
        <x:v>0</x:v>
      </x:c>
      <x:c r="S308" t="n">
        <x:f>IF(AND(M308=1,J308&lt;&gt;"Ninguna"),1,0)</x:f>
        <x:v>0</x:v>
      </x:c>
    </x:row>
    <x:row r="309">
      <x:c r="A309" t="str">
        <x:v>PED-0308</x:v>
      </x:c>
      <x:c r="B309" s="12" t="n">
        <x:v>46234</x:v>
      </x:c>
      <x:c r="C309" t="str">
        <x:v>MetalNova</x:v>
      </x:c>
      <x:c r="D309" t="str">
        <x:v>Materia prima</x:v>
      </x:c>
      <x:c r="E309" s="10" t="n">
        <x:v>5169.15</x:v>
      </x:c>
      <x:c r="F309" s="12" t="n">
        <x:v>46246</x:v>
      </x:c>
      <x:c r="G309" s="12" t="n">
        <x:v>46245</x:v>
      </x:c>
      <x:c r="H309" t="n">
        <x:v>197</x:v>
      </x:c>
      <x:c r="I309" t="n">
        <x:v>4</x:v>
      </x:c>
      <x:c r="J309" t="str">
        <x:v>Ninguna</x:v>
      </x:c>
      <x:c r="K309" t="str">
        <x:v>No</x:v>
      </x:c>
      <x:c r="L309" t="str">
        <x:v>Barcelona</x:v>
      </x:c>
      <x:c r="M309" t="n">
        <x:f>IF(AND(B309&gt;=DATE(2026,7,1),B309&lt;=DATE(2026,9,30),G309&gt;=DATE(2026,7,1),G309&lt;=DATE(2026,9,30)),1,0)</x:f>
        <x:v>1</x:v>
      </x:c>
      <x:c r="N309" t="n">
        <x:f>IF(M309=1,IF(G309&lt;=F309,1,0),0)</x:f>
        <x:v>1</x:v>
      </x:c>
      <x:c r="O309" t="n">
        <x:f>IF(AND(M309=1,K309="Sí",G309&gt;F309),1,0)</x:f>
        <x:v>0</x:v>
      </x:c>
      <x:c r="P309" t="n">
        <x:f>IF(AND(M309=1,I309&gt;0),1,0)</x:f>
        <x:v>1</x:v>
      </x:c>
      <x:c r="Q309" t="n">
        <x:f>IF(AND(B309&gt;=DATE(2026,7,1),B309&lt;=DATE(2026,9,30),G309&gt;=DATE(2026,10,1),G309&lt;=DATE(2026,10,7)),1,0)</x:f>
        <x:v>0</x:v>
      </x:c>
      <x:c r="R309" t="n">
        <x:f>IF(AND(B309&gt;=DATE(2026,7,1),B309&lt;=DATE(2026,9,30),G309&gt;DATE(2026,10,7)),1,0)</x:f>
        <x:v>0</x:v>
      </x:c>
      <x:c r="S309" t="n">
        <x:f>IF(AND(M309=1,J309&lt;&gt;"Ninguna"),1,0)</x:f>
        <x:v>0</x:v>
      </x:c>
    </x:row>
    <x:row r="310">
      <x:c r="A310" t="str">
        <x:v>PED-0309</x:v>
      </x:c>
      <x:c r="B310" s="12" t="n">
        <x:v>46237</x:v>
      </x:c>
      <x:c r="C310" t="str">
        <x:v>OfiPlus</x:v>
      </x:c>
      <x:c r="D310" t="str">
        <x:v>Consumibles</x:v>
      </x:c>
      <x:c r="E310" s="10" t="n">
        <x:v>1273.74</x:v>
      </x:c>
      <x:c r="F310" s="12" t="n">
        <x:v>46242</x:v>
      </x:c>
      <x:c r="G310" s="12" t="n">
        <x:v>46245</x:v>
      </x:c>
      <x:c r="H310" t="n">
        <x:v>281</x:v>
      </x:c>
      <x:c r="I310" t="n">
        <x:v>0</x:v>
      </x:c>
      <x:c r="J310" t="str">
        <x:v>Cantidad incorrecta</x:v>
      </x:c>
      <x:c r="K310" t="str">
        <x:v>Sí</x:v>
      </x:c>
      <x:c r="L310" t="str">
        <x:v>Barcelona</x:v>
      </x:c>
      <x:c r="M310" t="n">
        <x:f>IF(AND(B310&gt;=DATE(2026,7,1),B310&lt;=DATE(2026,9,30),G310&gt;=DATE(2026,7,1),G310&lt;=DATE(2026,9,30)),1,0)</x:f>
        <x:v>1</x:v>
      </x:c>
      <x:c r="N310" t="n">
        <x:f>IF(M310=1,IF(G310&lt;=F310,1,0),0)</x:f>
        <x:v>0</x:v>
      </x:c>
      <x:c r="O310" t="n">
        <x:f>IF(AND(M310=1,K310="Sí",G310&gt;F310),1,0)</x:f>
        <x:v>1</x:v>
      </x:c>
      <x:c r="P310" t="n">
        <x:f>IF(AND(M310=1,I310&gt;0),1,0)</x:f>
        <x:v>0</x:v>
      </x:c>
      <x:c r="Q310" t="n">
        <x:f>IF(AND(B310&gt;=DATE(2026,7,1),B310&lt;=DATE(2026,9,30),G310&gt;=DATE(2026,10,1),G310&lt;=DATE(2026,10,7)),1,0)</x:f>
        <x:v>0</x:v>
      </x:c>
      <x:c r="R310" t="n">
        <x:f>IF(AND(B310&gt;=DATE(2026,7,1),B310&lt;=DATE(2026,9,30),G310&gt;DATE(2026,10,7)),1,0)</x:f>
        <x:v>0</x:v>
      </x:c>
      <x:c r="S310" t="n">
        <x:f>IF(AND(M310=1,J310&lt;&gt;"Ninguna"),1,0)</x:f>
        <x:v>1</x:v>
      </x:c>
    </x:row>
    <x:row r="311">
      <x:c r="A311" t="str">
        <x:v>PED-0310</x:v>
      </x:c>
      <x:c r="B311" s="12" t="n">
        <x:v>46236</x:v>
      </x:c>
      <x:c r="C311" t="str">
        <x:v>MetalNova</x:v>
      </x:c>
      <x:c r="D311" t="str">
        <x:v>Componentes mecánicos</x:v>
      </x:c>
      <x:c r="E311" s="10" t="n">
        <x:v>8041.9</x:v>
      </x:c>
      <x:c r="F311" s="12" t="n">
        <x:v>46245</x:v>
      </x:c>
      <x:c r="G311" s="12" t="n">
        <x:v>46243</x:v>
      </x:c>
      <x:c r="H311" t="n">
        <x:v>363</x:v>
      </x:c>
      <x:c r="I311" t="n">
        <x:v>0</x:v>
      </x:c>
      <x:c r="J311" t="str">
        <x:v>Ninguna</x:v>
      </x:c>
      <x:c r="K311" t="str">
        <x:v>Sí</x:v>
      </x:c>
      <x:c r="L311" t="str">
        <x:v>Zaragoza</x:v>
      </x:c>
      <x:c r="M311" t="n">
        <x:f>IF(AND(B311&gt;=DATE(2026,7,1),B311&lt;=DATE(2026,9,30),G311&gt;=DATE(2026,7,1),G311&lt;=DATE(2026,9,30)),1,0)</x:f>
        <x:v>1</x:v>
      </x:c>
      <x:c r="N311" t="n">
        <x:f>IF(M311=1,IF(G311&lt;=F311,1,0),0)</x:f>
        <x:v>1</x:v>
      </x:c>
      <x:c r="O311" t="n">
        <x:f>IF(AND(M311=1,K311="Sí",G311&gt;F311),1,0)</x:f>
        <x:v>0</x:v>
      </x:c>
      <x:c r="P311" t="n">
        <x:f>IF(AND(M311=1,I311&gt;0),1,0)</x:f>
        <x:v>0</x:v>
      </x:c>
      <x:c r="Q311" t="n">
        <x:f>IF(AND(B311&gt;=DATE(2026,7,1),B311&lt;=DATE(2026,9,30),G311&gt;=DATE(2026,10,1),G311&lt;=DATE(2026,10,7)),1,0)</x:f>
        <x:v>0</x:v>
      </x:c>
      <x:c r="R311" t="n">
        <x:f>IF(AND(B311&gt;=DATE(2026,7,1),B311&lt;=DATE(2026,9,30),G311&gt;DATE(2026,10,7)),1,0)</x:f>
        <x:v>0</x:v>
      </x:c>
      <x:c r="S311" t="n">
        <x:f>IF(AND(M311=1,J311&lt;&gt;"Ninguna"),1,0)</x:f>
        <x:v>0</x:v>
      </x:c>
    </x:row>
    <x:row r="312">
      <x:c r="A312" t="str">
        <x:v>PED-0311</x:v>
      </x:c>
      <x:c r="B312" s="12" t="n">
        <x:v>46218</x:v>
      </x:c>
      <x:c r="C312" t="str">
        <x:v>MecaParts</x:v>
      </x:c>
      <x:c r="D312" t="str">
        <x:v>Componentes mecánicos</x:v>
      </x:c>
      <x:c r="E312" s="10" t="n">
        <x:v>1484.55</x:v>
      </x:c>
      <x:c r="F312" s="12" t="n">
        <x:v>46228</x:v>
      </x:c>
      <x:c r="G312" s="12" t="n">
        <x:v>46226</x:v>
      </x:c>
      <x:c r="H312" t="n">
        <x:v>71</x:v>
      </x:c>
      <x:c r="I312" t="n">
        <x:v>0</x:v>
      </x:c>
      <x:c r="J312" t="str">
        <x:v>Documentación</x:v>
      </x:c>
      <x:c r="K312" t="str">
        <x:v>No</x:v>
      </x:c>
      <x:c r="L312" t="str">
        <x:v>Barcelona</x:v>
      </x:c>
      <x:c r="M312" t="n">
        <x:f>IF(AND(B312&gt;=DATE(2026,7,1),B312&lt;=DATE(2026,9,30),G312&gt;=DATE(2026,7,1),G312&lt;=DATE(2026,9,30)),1,0)</x:f>
        <x:v>1</x:v>
      </x:c>
      <x:c r="N312" t="n">
        <x:f>IF(M312=1,IF(G312&lt;=F312,1,0),0)</x:f>
        <x:v>1</x:v>
      </x:c>
      <x:c r="O312" t="n">
        <x:f>IF(AND(M312=1,K312="Sí",G312&gt;F312),1,0)</x:f>
        <x:v>0</x:v>
      </x:c>
      <x:c r="P312" t="n">
        <x:f>IF(AND(M312=1,I312&gt;0),1,0)</x:f>
        <x:v>0</x:v>
      </x:c>
      <x:c r="Q312" t="n">
        <x:f>IF(AND(B312&gt;=DATE(2026,7,1),B312&lt;=DATE(2026,9,30),G312&gt;=DATE(2026,10,1),G312&lt;=DATE(2026,10,7)),1,0)</x:f>
        <x:v>0</x:v>
      </x:c>
      <x:c r="R312" t="n">
        <x:f>IF(AND(B312&gt;=DATE(2026,7,1),B312&lt;=DATE(2026,9,30),G312&gt;DATE(2026,10,7)),1,0)</x:f>
        <x:v>0</x:v>
      </x:c>
      <x:c r="S312" t="n">
        <x:f>IF(AND(M312=1,J312&lt;&gt;"Ninguna"),1,0)</x:f>
        <x:v>1</x:v>
      </x:c>
    </x:row>
    <x:row r="313">
      <x:c r="A313" t="str">
        <x:v>PED-0312</x:v>
      </x:c>
      <x:c r="B313" s="12" t="n">
        <x:v>46221</x:v>
      </x:c>
      <x:c r="C313" t="str">
        <x:v>PackPro</x:v>
      </x:c>
      <x:c r="D313" t="str">
        <x:v>Embalaje</x:v>
      </x:c>
      <x:c r="E313" s="10" t="n">
        <x:v>5022.76</x:v>
      </x:c>
      <x:c r="F313" s="12" t="n">
        <x:v>46229</x:v>
      </x:c>
      <x:c r="G313" s="12" t="n">
        <x:v>46229</x:v>
      </x:c>
      <x:c r="H313" t="n">
        <x:v>134</x:v>
      </x:c>
      <x:c r="I313" t="n">
        <x:v>0</x:v>
      </x:c>
      <x:c r="J313" t="str">
        <x:v>Ninguna</x:v>
      </x:c>
      <x:c r="K313" t="str">
        <x:v>No</x:v>
      </x:c>
      <x:c r="L313" t="str">
        <x:v>Zaragoza</x:v>
      </x:c>
      <x:c r="M313" t="n">
        <x:f>IF(AND(B313&gt;=DATE(2026,7,1),B313&lt;=DATE(2026,9,30),G313&gt;=DATE(2026,7,1),G313&lt;=DATE(2026,9,30)),1,0)</x:f>
        <x:v>1</x:v>
      </x:c>
      <x:c r="N313" t="n">
        <x:f>IF(M313=1,IF(G313&lt;=F313,1,0),0)</x:f>
        <x:v>1</x:v>
      </x:c>
      <x:c r="O313" t="n">
        <x:f>IF(AND(M313=1,K313="Sí",G313&gt;F313),1,0)</x:f>
        <x:v>0</x:v>
      </x:c>
      <x:c r="P313" t="n">
        <x:f>IF(AND(M313=1,I313&gt;0),1,0)</x:f>
        <x:v>0</x:v>
      </x:c>
      <x:c r="Q313" t="n">
        <x:f>IF(AND(B313&gt;=DATE(2026,7,1),B313&lt;=DATE(2026,9,30),G313&gt;=DATE(2026,10,1),G313&lt;=DATE(2026,10,7)),1,0)</x:f>
        <x:v>0</x:v>
      </x:c>
      <x:c r="R313" t="n">
        <x:f>IF(AND(B313&gt;=DATE(2026,7,1),B313&lt;=DATE(2026,9,30),G313&gt;DATE(2026,10,7)),1,0)</x:f>
        <x:v>0</x:v>
      </x:c>
      <x:c r="S313" t="n">
        <x:f>IF(AND(M313=1,J313&lt;&gt;"Ninguna"),1,0)</x:f>
        <x:v>0</x:v>
      </x:c>
    </x:row>
    <x:row r="314">
      <x:c r="A314" t="str">
        <x:v>PED-0313</x:v>
      </x:c>
      <x:c r="B314" s="12" t="n">
        <x:v>46279</x:v>
      </x:c>
      <x:c r="C314" t="str">
        <x:v>MecaParts</x:v>
      </x:c>
      <x:c r="D314" t="str">
        <x:v>Componentes mecánicos</x:v>
      </x:c>
      <x:c r="E314" s="10" t="n">
        <x:v>15154.75</x:v>
      </x:c>
      <x:c r="F314" s="12" t="n">
        <x:v>46288</x:v>
      </x:c>
      <x:c r="G314" s="12" t="n">
        <x:v>46296</x:v>
      </x:c>
      <x:c r="H314" t="n">
        <x:v>365</x:v>
      </x:c>
      <x:c r="I314" t="n">
        <x:v>0</x:v>
      </x:c>
      <x:c r="J314" t="str">
        <x:v>Retraso</x:v>
      </x:c>
      <x:c r="K314" t="str">
        <x:v>No</x:v>
      </x:c>
      <x:c r="L314" t="str">
        <x:v>Valencia</x:v>
      </x:c>
      <x:c r="M314" t="n">
        <x:f>IF(AND(B314&gt;=DATE(2026,7,1),B314&lt;=DATE(2026,9,30),G314&gt;=DATE(2026,7,1),G314&lt;=DATE(2026,9,30)),1,0)</x:f>
        <x:v>0</x:v>
      </x:c>
      <x:c r="N314" t="n">
        <x:f>IF(M314=1,IF(G314&lt;=F314,1,0),0)</x:f>
        <x:v>0</x:v>
      </x:c>
      <x:c r="O314" t="n">
        <x:f>IF(AND(M314=1,K314="Sí",G314&gt;F314),1,0)</x:f>
        <x:v>0</x:v>
      </x:c>
      <x:c r="P314" t="n">
        <x:f>IF(AND(M314=1,I314&gt;0),1,0)</x:f>
        <x:v>0</x:v>
      </x:c>
      <x:c r="Q314" t="n">
        <x:f>IF(AND(B314&gt;=DATE(2026,7,1),B314&lt;=DATE(2026,9,30),G314&gt;=DATE(2026,10,1),G314&lt;=DATE(2026,10,7)),1,0)</x:f>
        <x:v>1</x:v>
      </x:c>
      <x:c r="R314" t="n">
        <x:f>IF(AND(B314&gt;=DATE(2026,7,1),B314&lt;=DATE(2026,9,30),G314&gt;DATE(2026,10,7)),1,0)</x:f>
        <x:v>0</x:v>
      </x:c>
      <x:c r="S314" t="n">
        <x:f>IF(AND(M314=1,J314&lt;&gt;"Ninguna"),1,0)</x:f>
        <x:v>0</x:v>
      </x:c>
    </x:row>
    <x:row r="315">
      <x:c r="A315" t="str">
        <x:v>PED-0314</x:v>
      </x:c>
      <x:c r="B315" s="12" t="n">
        <x:v>46245</x:v>
      </x:c>
      <x:c r="C315" t="str">
        <x:v>PackPro</x:v>
      </x:c>
      <x:c r="D315" t="str">
        <x:v>Embalaje</x:v>
      </x:c>
      <x:c r="E315" s="10" t="n">
        <x:v>1094.4</x:v>
      </x:c>
      <x:c r="F315" s="12" t="n">
        <x:v>46251</x:v>
      </x:c>
      <x:c r="G315" s="12" t="n">
        <x:v>46252</x:v>
      </x:c>
      <x:c r="H315" t="n">
        <x:v>53</x:v>
      </x:c>
      <x:c r="I315" t="n">
        <x:v>6</x:v>
      </x:c>
      <x:c r="J315" t="str">
        <x:v>Calidad</x:v>
      </x:c>
      <x:c r="K315" t="str">
        <x:v>Sí</x:v>
      </x:c>
      <x:c r="L315" t="str">
        <x:v>Barcelona</x:v>
      </x:c>
      <x:c r="M315" t="n">
        <x:f>IF(AND(B315&gt;=DATE(2026,7,1),B315&lt;=DATE(2026,9,30),G315&gt;=DATE(2026,7,1),G315&lt;=DATE(2026,9,30)),1,0)</x:f>
        <x:v>1</x:v>
      </x:c>
      <x:c r="N315" t="n">
        <x:f>IF(M315=1,IF(G315&lt;=F315,1,0),0)</x:f>
        <x:v>0</x:v>
      </x:c>
      <x:c r="O315" t="n">
        <x:f>IF(AND(M315=1,K315="Sí",G315&gt;F315),1,0)</x:f>
        <x:v>1</x:v>
      </x:c>
      <x:c r="P315" t="n">
        <x:f>IF(AND(M315=1,I315&gt;0),1,0)</x:f>
        <x:v>1</x:v>
      </x:c>
      <x:c r="Q315" t="n">
        <x:f>IF(AND(B315&gt;=DATE(2026,7,1),B315&lt;=DATE(2026,9,30),G315&gt;=DATE(2026,10,1),G315&lt;=DATE(2026,10,7)),1,0)</x:f>
        <x:v>0</x:v>
      </x:c>
      <x:c r="R315" t="n">
        <x:f>IF(AND(B315&gt;=DATE(2026,7,1),B315&lt;=DATE(2026,9,30),G315&gt;DATE(2026,10,7)),1,0)</x:f>
        <x:v>0</x:v>
      </x:c>
      <x:c r="S315" t="n">
        <x:f>IF(AND(M315=1,J315&lt;&gt;"Ninguna"),1,0)</x:f>
        <x:v>1</x:v>
      </x:c>
    </x:row>
    <x:row r="316">
      <x:c r="A316" t="str">
        <x:v>PED-0315</x:v>
      </x:c>
      <x:c r="B316" s="12" t="n">
        <x:v>46233</x:v>
      </x:c>
      <x:c r="C316" t="str">
        <x:v>MecaParts</x:v>
      </x:c>
      <x:c r="D316" t="str">
        <x:v>Componentes mecánicos</x:v>
      </x:c>
      <x:c r="E316" s="10" t="n">
        <x:v>1599.45</x:v>
      </x:c>
      <x:c r="F316" s="12" t="n">
        <x:v>46242</x:v>
      </x:c>
      <x:c r="G316" s="12" t="n">
        <x:v>46250</x:v>
      </x:c>
      <x:c r="H316" t="n">
        <x:v>70</x:v>
      </x:c>
      <x:c r="I316" t="n">
        <x:v>0</x:v>
      </x:c>
      <x:c r="J316" t="str">
        <x:v>Retraso</x:v>
      </x:c>
      <x:c r="K316" t="str">
        <x:v>No</x:v>
      </x:c>
      <x:c r="L316" t="str">
        <x:v>Valencia</x:v>
      </x:c>
      <x:c r="M316" t="n">
        <x:f>IF(AND(B316&gt;=DATE(2026,7,1),B316&lt;=DATE(2026,9,30),G316&gt;=DATE(2026,7,1),G316&lt;=DATE(2026,9,30)),1,0)</x:f>
        <x:v>1</x:v>
      </x:c>
      <x:c r="N316" t="n">
        <x:f>IF(M316=1,IF(G316&lt;=F316,1,0),0)</x:f>
        <x:v>0</x:v>
      </x:c>
      <x:c r="O316" t="n">
        <x:f>IF(AND(M316=1,K316="Sí",G316&gt;F316),1,0)</x:f>
        <x:v>0</x:v>
      </x:c>
      <x:c r="P316" t="n">
        <x:f>IF(AND(M316=1,I316&gt;0),1,0)</x:f>
        <x:v>0</x:v>
      </x:c>
      <x:c r="Q316" t="n">
        <x:f>IF(AND(B316&gt;=DATE(2026,7,1),B316&lt;=DATE(2026,9,30),G316&gt;=DATE(2026,10,1),G316&lt;=DATE(2026,10,7)),1,0)</x:f>
        <x:v>0</x:v>
      </x:c>
      <x:c r="R316" t="n">
        <x:f>IF(AND(B316&gt;=DATE(2026,7,1),B316&lt;=DATE(2026,9,30),G316&gt;DATE(2026,10,7)),1,0)</x:f>
        <x:v>0</x:v>
      </x:c>
      <x:c r="S316" t="n">
        <x:f>IF(AND(M316=1,J316&lt;&gt;"Ninguna"),1,0)</x:f>
        <x:v>1</x:v>
      </x:c>
    </x:row>
    <x:row r="317">
      <x:c r="A317" t="str">
        <x:v>PED-0316</x:v>
      </x:c>
      <x:c r="B317" s="12" t="n">
        <x:v>46231</x:v>
      </x:c>
      <x:c r="C317" t="str">
        <x:v>PackPro</x:v>
      </x:c>
      <x:c r="D317" t="str">
        <x:v>Embalaje</x:v>
      </x:c>
      <x:c r="E317" s="10" t="n">
        <x:v>12716.7</x:v>
      </x:c>
      <x:c r="F317" s="12" t="n">
        <x:v>46239</x:v>
      </x:c>
      <x:c r="G317" s="12" t="n">
        <x:v>46237</x:v>
      </x:c>
      <x:c r="H317" t="n">
        <x:v>299</x:v>
      </x:c>
      <x:c r="I317" t="n">
        <x:v>0</x:v>
      </x:c>
      <x:c r="J317" t="str">
        <x:v>Ninguna</x:v>
      </x:c>
      <x:c r="K317" t="str">
        <x:v>No</x:v>
      </x:c>
      <x:c r="L317" t="str">
        <x:v>Zaragoza</x:v>
      </x:c>
      <x:c r="M317" t="n">
        <x:f>IF(AND(B317&gt;=DATE(2026,7,1),B317&lt;=DATE(2026,9,30),G317&gt;=DATE(2026,7,1),G317&lt;=DATE(2026,9,30)),1,0)</x:f>
        <x:v>1</x:v>
      </x:c>
      <x:c r="N317" t="n">
        <x:f>IF(M317=1,IF(G317&lt;=F317,1,0),0)</x:f>
        <x:v>1</x:v>
      </x:c>
      <x:c r="O317" t="n">
        <x:f>IF(AND(M317=1,K317="Sí",G317&gt;F317),1,0)</x:f>
        <x:v>0</x:v>
      </x:c>
      <x:c r="P317" t="n">
        <x:f>IF(AND(M317=1,I317&gt;0),1,0)</x:f>
        <x:v>0</x:v>
      </x:c>
      <x:c r="Q317" t="n">
        <x:f>IF(AND(B317&gt;=DATE(2026,7,1),B317&lt;=DATE(2026,9,30),G317&gt;=DATE(2026,10,1),G317&lt;=DATE(2026,10,7)),1,0)</x:f>
        <x:v>0</x:v>
      </x:c>
      <x:c r="R317" t="n">
        <x:f>IF(AND(B317&gt;=DATE(2026,7,1),B317&lt;=DATE(2026,9,30),G317&gt;DATE(2026,10,7)),1,0)</x:f>
        <x:v>0</x:v>
      </x:c>
      <x:c r="S317" t="n">
        <x:f>IF(AND(M317=1,J317&lt;&gt;"Ninguna"),1,0)</x:f>
        <x:v>0</x:v>
      </x:c>
    </x:row>
    <x:row r="318">
      <x:c r="A318" t="str">
        <x:v>PED-0317</x:v>
      </x:c>
      <x:c r="B318" s="12" t="n">
        <x:v>46227</x:v>
      </x:c>
      <x:c r="C318" t="str">
        <x:v>MetalNova</x:v>
      </x:c>
      <x:c r="D318" t="str">
        <x:v>Materia prima</x:v>
      </x:c>
      <x:c r="E318" s="10" t="n">
        <x:v>8086.73</x:v>
      </x:c>
      <x:c r="F318" s="12" t="n">
        <x:v>46236</x:v>
      </x:c>
      <x:c r="G318" s="12" t="n">
        <x:v>46242</x:v>
      </x:c>
      <x:c r="H318" t="n">
        <x:v>329</x:v>
      </x:c>
      <x:c r="I318" t="n">
        <x:v>14</x:v>
      </x:c>
      <x:c r="J318" t="str">
        <x:v>Retraso</x:v>
      </x:c>
      <x:c r="K318" t="str">
        <x:v>No</x:v>
      </x:c>
      <x:c r="L318" t="str">
        <x:v>Barcelona</x:v>
      </x:c>
      <x:c r="M318" t="n">
        <x:f>IF(AND(B318&gt;=DATE(2026,7,1),B318&lt;=DATE(2026,9,30),G318&gt;=DATE(2026,7,1),G318&lt;=DATE(2026,9,30)),1,0)</x:f>
        <x:v>1</x:v>
      </x:c>
      <x:c r="N318" t="n">
        <x:f>IF(M318=1,IF(G318&lt;=F318,1,0),0)</x:f>
        <x:v>0</x:v>
      </x:c>
      <x:c r="O318" t="n">
        <x:f>IF(AND(M318=1,K318="Sí",G318&gt;F318),1,0)</x:f>
        <x:v>0</x:v>
      </x:c>
      <x:c r="P318" t="n">
        <x:f>IF(AND(M318=1,I318&gt;0),1,0)</x:f>
        <x:v>1</x:v>
      </x:c>
      <x:c r="Q318" t="n">
        <x:f>IF(AND(B318&gt;=DATE(2026,7,1),B318&lt;=DATE(2026,9,30),G318&gt;=DATE(2026,10,1),G318&lt;=DATE(2026,10,7)),1,0)</x:f>
        <x:v>0</x:v>
      </x:c>
      <x:c r="R318" t="n">
        <x:f>IF(AND(B318&gt;=DATE(2026,7,1),B318&lt;=DATE(2026,9,30),G318&gt;DATE(2026,10,7)),1,0)</x:f>
        <x:v>0</x:v>
      </x:c>
      <x:c r="S318" t="n">
        <x:f>IF(AND(M318=1,J318&lt;&gt;"Ninguna"),1,0)</x:f>
        <x:v>1</x:v>
      </x:c>
    </x:row>
    <x:row r="319">
      <x:c r="A319" t="str">
        <x:v>PED-0318</x:v>
      </x:c>
      <x:c r="B319" s="12" t="n">
        <x:v>46245</x:v>
      </x:c>
      <x:c r="C319" t="str">
        <x:v>OfiPlus</x:v>
      </x:c>
      <x:c r="D319" t="str">
        <x:v>Consumibles</x:v>
      </x:c>
      <x:c r="E319" s="10" t="n">
        <x:v>2642.46</x:v>
      </x:c>
      <x:c r="F319" s="12" t="n">
        <x:v>46251</x:v>
      </x:c>
      <x:c r="G319" s="12" t="n">
        <x:v>46249</x:v>
      </x:c>
      <x:c r="H319" t="n">
        <x:v>94</x:v>
      </x:c>
      <x:c r="I319" t="n">
        <x:v>5</x:v>
      </x:c>
      <x:c r="J319" t="str">
        <x:v>Calidad</x:v>
      </x:c>
      <x:c r="K319" t="str">
        <x:v>No</x:v>
      </x:c>
      <x:c r="L319" t="str">
        <x:v>Barcelona</x:v>
      </x:c>
      <x:c r="M319" t="n">
        <x:f>IF(AND(B319&gt;=DATE(2026,7,1),B319&lt;=DATE(2026,9,30),G319&gt;=DATE(2026,7,1),G319&lt;=DATE(2026,9,30)),1,0)</x:f>
        <x:v>1</x:v>
      </x:c>
      <x:c r="N319" t="n">
        <x:f>IF(M319=1,IF(G319&lt;=F319,1,0),0)</x:f>
        <x:v>1</x:v>
      </x:c>
      <x:c r="O319" t="n">
        <x:f>IF(AND(M319=1,K319="Sí",G319&gt;F319),1,0)</x:f>
        <x:v>0</x:v>
      </x:c>
      <x:c r="P319" t="n">
        <x:f>IF(AND(M319=1,I319&gt;0),1,0)</x:f>
        <x:v>1</x:v>
      </x:c>
      <x:c r="Q319" t="n">
        <x:f>IF(AND(B319&gt;=DATE(2026,7,1),B319&lt;=DATE(2026,9,30),G319&gt;=DATE(2026,10,1),G319&lt;=DATE(2026,10,7)),1,0)</x:f>
        <x:v>0</x:v>
      </x:c>
      <x:c r="R319" t="n">
        <x:f>IF(AND(B319&gt;=DATE(2026,7,1),B319&lt;=DATE(2026,9,30),G319&gt;DATE(2026,10,7)),1,0)</x:f>
        <x:v>0</x:v>
      </x:c>
      <x:c r="S319" t="n">
        <x:f>IF(AND(M319=1,J319&lt;&gt;"Ninguna"),1,0)</x:f>
        <x:v>1</x:v>
      </x:c>
    </x:row>
    <x:row r="320">
      <x:c r="A320" t="str">
        <x:v>PED-0319</x:v>
      </x:c>
      <x:c r="B320" s="12" t="n">
        <x:v>46270</x:v>
      </x:c>
      <x:c r="C320" t="str">
        <x:v>MecaParts</x:v>
      </x:c>
      <x:c r="D320" t="str">
        <x:v>Componentes mecánicos</x:v>
      </x:c>
      <x:c r="E320" s="10" t="n">
        <x:v>2064.53</x:v>
      </x:c>
      <x:c r="F320" s="12" t="n">
        <x:v>46279</x:v>
      </x:c>
      <x:c r="G320" s="12" t="n">
        <x:v>46283</x:v>
      </x:c>
      <x:c r="H320" t="n">
        <x:v>60</x:v>
      </x:c>
      <x:c r="I320" t="n">
        <x:v>0</x:v>
      </x:c>
      <x:c r="J320" t="str">
        <x:v>Documentación</x:v>
      </x:c>
      <x:c r="K320" t="str">
        <x:v>No</x:v>
      </x:c>
      <x:c r="L320" t="str">
        <x:v>Barcelona</x:v>
      </x:c>
      <x:c r="M320" t="n">
        <x:f>IF(AND(B320&gt;=DATE(2026,7,1),B320&lt;=DATE(2026,9,30),G320&gt;=DATE(2026,7,1),G320&lt;=DATE(2026,9,30)),1,0)</x:f>
        <x:v>1</x:v>
      </x:c>
      <x:c r="N320" t="n">
        <x:f>IF(M320=1,IF(G320&lt;=F320,1,0),0)</x:f>
        <x:v>0</x:v>
      </x:c>
      <x:c r="O320" t="n">
        <x:f>IF(AND(M320=1,K320="Sí",G320&gt;F320),1,0)</x:f>
        <x:v>0</x:v>
      </x:c>
      <x:c r="P320" t="n">
        <x:f>IF(AND(M320=1,I320&gt;0),1,0)</x:f>
        <x:v>0</x:v>
      </x:c>
      <x:c r="Q320" t="n">
        <x:f>IF(AND(B320&gt;=DATE(2026,7,1),B320&lt;=DATE(2026,9,30),G320&gt;=DATE(2026,10,1),G320&lt;=DATE(2026,10,7)),1,0)</x:f>
        <x:v>0</x:v>
      </x:c>
      <x:c r="R320" t="n">
        <x:f>IF(AND(B320&gt;=DATE(2026,7,1),B320&lt;=DATE(2026,9,30),G320&gt;DATE(2026,10,7)),1,0)</x:f>
        <x:v>0</x:v>
      </x:c>
      <x:c r="S320" t="n">
        <x:f>IF(AND(M320=1,J320&lt;&gt;"Ninguna"),1,0)</x:f>
        <x:v>1</x:v>
      </x:c>
    </x:row>
    <x:row r="321">
      <x:c r="A321" t="str">
        <x:v>PED-0320</x:v>
      </x:c>
      <x:c r="B321" s="12" t="n">
        <x:v>46217</x:v>
      </x:c>
      <x:c r="C321" t="str">
        <x:v>MecaParts</x:v>
      </x:c>
      <x:c r="D321" t="str">
        <x:v>Componentes mecánicos</x:v>
      </x:c>
      <x:c r="E321" s="10" t="n">
        <x:v>4548.64</x:v>
      </x:c>
      <x:c r="F321" s="12" t="n">
        <x:v>46228</x:v>
      </x:c>
      <x:c r="G321" s="12" t="n">
        <x:v>46228</x:v>
      </x:c>
      <x:c r="H321" t="n">
        <x:v>161</x:v>
      </x:c>
      <x:c r="I321" t="n">
        <x:v>0</x:v>
      </x:c>
      <x:c r="J321" t="str">
        <x:v>Daño transporte</x:v>
      </x:c>
      <x:c r="K321" t="str">
        <x:v>No</x:v>
      </x:c>
      <x:c r="L321" t="str">
        <x:v>Barcelona</x:v>
      </x:c>
      <x:c r="M321" t="n">
        <x:f>IF(AND(B321&gt;=DATE(2026,7,1),B321&lt;=DATE(2026,9,30),G321&gt;=DATE(2026,7,1),G321&lt;=DATE(2026,9,30)),1,0)</x:f>
        <x:v>1</x:v>
      </x:c>
      <x:c r="N321" t="n">
        <x:f>IF(M321=1,IF(G321&lt;=F321,1,0),0)</x:f>
        <x:v>1</x:v>
      </x:c>
      <x:c r="O321" t="n">
        <x:f>IF(AND(M321=1,K321="Sí",G321&gt;F321),1,0)</x:f>
        <x:v>0</x:v>
      </x:c>
      <x:c r="P321" t="n">
        <x:f>IF(AND(M321=1,I321&gt;0),1,0)</x:f>
        <x:v>0</x:v>
      </x:c>
      <x:c r="Q321" t="n">
        <x:f>IF(AND(B321&gt;=DATE(2026,7,1),B321&lt;=DATE(2026,9,30),G321&gt;=DATE(2026,10,1),G321&lt;=DATE(2026,10,7)),1,0)</x:f>
        <x:v>0</x:v>
      </x:c>
      <x:c r="R321" t="n">
        <x:f>IF(AND(B321&gt;=DATE(2026,7,1),B321&lt;=DATE(2026,9,30),G321&gt;DATE(2026,10,7)),1,0)</x:f>
        <x:v>0</x:v>
      </x:c>
      <x:c r="S321" t="n">
        <x:f>IF(AND(M321=1,J321&lt;&gt;"Ninguna"),1,0)</x:f>
        <x:v>1</x:v>
      </x:c>
    </x:row>
    <x:row r="322">
      <x:c r="A322" t="str">
        <x:v>PED-0321</x:v>
      </x:c>
      <x:c r="B322" s="12" t="n">
        <x:v>46272</x:v>
      </x:c>
      <x:c r="C322" t="str">
        <x:v>MecaParts</x:v>
      </x:c>
      <x:c r="D322" t="str">
        <x:v>Componentes mecánicos</x:v>
      </x:c>
      <x:c r="E322" s="10" t="n">
        <x:v>14237.84</x:v>
      </x:c>
      <x:c r="F322" s="12" t="n">
        <x:v>46281</x:v>
      </x:c>
      <x:c r="G322" s="12" t="n">
        <x:v>46283</x:v>
      </x:c>
      <x:c r="H322" t="n">
        <x:v>339</x:v>
      </x:c>
      <x:c r="I322" t="n">
        <x:v>0</x:v>
      </x:c>
      <x:c r="J322" t="str">
        <x:v>Documentación</x:v>
      </x:c>
      <x:c r="K322" t="str">
        <x:v>No</x:v>
      </x:c>
      <x:c r="L322" t="str">
        <x:v>Zaragoza</x:v>
      </x:c>
      <x:c r="M322" t="n">
        <x:f>IF(AND(B322&gt;=DATE(2026,7,1),B322&lt;=DATE(2026,9,30),G322&gt;=DATE(2026,7,1),G322&lt;=DATE(2026,9,30)),1,0)</x:f>
        <x:v>1</x:v>
      </x:c>
      <x:c r="N322" t="n">
        <x:f>IF(M322=1,IF(G322&lt;=F322,1,0),0)</x:f>
        <x:v>0</x:v>
      </x:c>
      <x:c r="O322" t="n">
        <x:f>IF(AND(M322=1,K322="Sí",G322&gt;F322),1,0)</x:f>
        <x:v>0</x:v>
      </x:c>
      <x:c r="P322" t="n">
        <x:f>IF(AND(M322=1,I322&gt;0),1,0)</x:f>
        <x:v>0</x:v>
      </x:c>
      <x:c r="Q322" t="n">
        <x:f>IF(AND(B322&gt;=DATE(2026,7,1),B322&lt;=DATE(2026,9,30),G322&gt;=DATE(2026,10,1),G322&lt;=DATE(2026,10,7)),1,0)</x:f>
        <x:v>0</x:v>
      </x:c>
      <x:c r="R322" t="n">
        <x:f>IF(AND(B322&gt;=DATE(2026,7,1),B322&lt;=DATE(2026,9,30),G322&gt;DATE(2026,10,7)),1,0)</x:f>
        <x:v>0</x:v>
      </x:c>
      <x:c r="S322" t="n">
        <x:f>IF(AND(M322=1,J322&lt;&gt;"Ninguna"),1,0)</x:f>
        <x:v>1</x:v>
      </x:c>
    </x:row>
    <x:row r="323">
      <x:c r="A323" t="str">
        <x:v>PED-0322</x:v>
      </x:c>
      <x:c r="B323" s="12" t="n">
        <x:v>46229</x:v>
      </x:c>
      <x:c r="C323" t="str">
        <x:v>OfiPlus</x:v>
      </x:c>
      <x:c r="D323" t="str">
        <x:v>Consumibles</x:v>
      </x:c>
      <x:c r="E323" s="10" t="n">
        <x:v>6375.6</x:v>
      </x:c>
      <x:c r="F323" s="12" t="n">
        <x:v>46235</x:v>
      </x:c>
      <x:c r="G323" s="12" t="n">
        <x:v>46244</x:v>
      </x:c>
      <x:c r="H323" t="n">
        <x:v>273</x:v>
      </x:c>
      <x:c r="I323" t="n">
        <x:v>0</x:v>
      </x:c>
      <x:c r="J323" t="str">
        <x:v>Retraso</x:v>
      </x:c>
      <x:c r="K323" t="str">
        <x:v>No</x:v>
      </x:c>
      <x:c r="L323" t="str">
        <x:v>Barcelona</x:v>
      </x:c>
      <x:c r="M323" t="n">
        <x:f>IF(AND(B323&gt;=DATE(2026,7,1),B323&lt;=DATE(2026,9,30),G323&gt;=DATE(2026,7,1),G323&lt;=DATE(2026,9,30)),1,0)</x:f>
        <x:v>1</x:v>
      </x:c>
      <x:c r="N323" t="n">
        <x:f>IF(M323=1,IF(G323&lt;=F323,1,0),0)</x:f>
        <x:v>0</x:v>
      </x:c>
      <x:c r="O323" t="n">
        <x:f>IF(AND(M323=1,K323="Sí",G323&gt;F323),1,0)</x:f>
        <x:v>0</x:v>
      </x:c>
      <x:c r="P323" t="n">
        <x:f>IF(AND(M323=1,I323&gt;0),1,0)</x:f>
        <x:v>0</x:v>
      </x:c>
      <x:c r="Q323" t="n">
        <x:f>IF(AND(B323&gt;=DATE(2026,7,1),B323&lt;=DATE(2026,9,30),G323&gt;=DATE(2026,10,1),G323&lt;=DATE(2026,10,7)),1,0)</x:f>
        <x:v>0</x:v>
      </x:c>
      <x:c r="R323" t="n">
        <x:f>IF(AND(B323&gt;=DATE(2026,7,1),B323&lt;=DATE(2026,9,30),G323&gt;DATE(2026,10,7)),1,0)</x:f>
        <x:v>0</x:v>
      </x:c>
      <x:c r="S323" t="n">
        <x:f>IF(AND(M323=1,J323&lt;&gt;"Ninguna"),1,0)</x:f>
        <x:v>1</x:v>
      </x:c>
    </x:row>
    <x:row r="324">
      <x:c r="A324" t="str">
        <x:v>PED-0323</x:v>
      </x:c>
      <x:c r="B324" s="12" t="n">
        <x:v>46225</x:v>
      </x:c>
      <x:c r="C324" t="str">
        <x:v>MetalNova</x:v>
      </x:c>
      <x:c r="D324" t="str">
        <x:v>Materia prima</x:v>
      </x:c>
      <x:c r="E324" s="10" t="n">
        <x:v>9308.44</x:v>
      </x:c>
      <x:c r="F324" s="12" t="n">
        <x:v>46234</x:v>
      </x:c>
      <x:c r="G324" s="12" t="n">
        <x:v>46236</x:v>
      </x:c>
      <x:c r="H324" t="n">
        <x:v>226</x:v>
      </x:c>
      <x:c r="I324" t="n">
        <x:v>0</x:v>
      </x:c>
      <x:c r="J324" t="str">
        <x:v>Ninguna</x:v>
      </x:c>
      <x:c r="K324" t="str">
        <x:v>Sí</x:v>
      </x:c>
      <x:c r="L324" t="str">
        <x:v>Valencia</x:v>
      </x:c>
      <x:c r="M324" t="n">
        <x:f>IF(AND(B324&gt;=DATE(2026,7,1),B324&lt;=DATE(2026,9,30),G324&gt;=DATE(2026,7,1),G324&lt;=DATE(2026,9,30)),1,0)</x:f>
        <x:v>1</x:v>
      </x:c>
      <x:c r="N324" t="n">
        <x:f>IF(M324=1,IF(G324&lt;=F324,1,0),0)</x:f>
        <x:v>0</x:v>
      </x:c>
      <x:c r="O324" t="n">
        <x:f>IF(AND(M324=1,K324="Sí",G324&gt;F324),1,0)</x:f>
        <x:v>1</x:v>
      </x:c>
      <x:c r="P324" t="n">
        <x:f>IF(AND(M324=1,I324&gt;0),1,0)</x:f>
        <x:v>0</x:v>
      </x:c>
      <x:c r="Q324" t="n">
        <x:f>IF(AND(B324&gt;=DATE(2026,7,1),B324&lt;=DATE(2026,9,30),G324&gt;=DATE(2026,10,1),G324&lt;=DATE(2026,10,7)),1,0)</x:f>
        <x:v>0</x:v>
      </x:c>
      <x:c r="R324" t="n">
        <x:f>IF(AND(B324&gt;=DATE(2026,7,1),B324&lt;=DATE(2026,9,30),G324&gt;DATE(2026,10,7)),1,0)</x:f>
        <x:v>0</x:v>
      </x:c>
      <x:c r="S324" t="n">
        <x:f>IF(AND(M324=1,J324&lt;&gt;"Ninguna"),1,0)</x:f>
        <x:v>0</x:v>
      </x:c>
    </x:row>
    <x:row r="325">
      <x:c r="A325" t="str">
        <x:v>PED-0324</x:v>
      </x:c>
      <x:c r="B325" s="12" t="n">
        <x:v>46212</x:v>
      </x:c>
      <x:c r="C325" t="str">
        <x:v>MetalNova</x:v>
      </x:c>
      <x:c r="D325" t="str">
        <x:v>Componentes mecánicos</x:v>
      </x:c>
      <x:c r="E325" s="10" t="n">
        <x:v>8868.55</x:v>
      </x:c>
      <x:c r="F325" s="12" t="n">
        <x:v>46221</x:v>
      </x:c>
      <x:c r="G325" s="12" t="n">
        <x:v>46222</x:v>
      </x:c>
      <x:c r="H325" t="n">
        <x:v>337</x:v>
      </x:c>
      <x:c r="I325" t="n">
        <x:v>0</x:v>
      </x:c>
      <x:c r="J325" t="str">
        <x:v>Retraso</x:v>
      </x:c>
      <x:c r="K325" t="str">
        <x:v>No</x:v>
      </x:c>
      <x:c r="L325" t="str">
        <x:v>Zaragoza</x:v>
      </x:c>
      <x:c r="M325" t="n">
        <x:f>IF(AND(B325&gt;=DATE(2026,7,1),B325&lt;=DATE(2026,9,30),G325&gt;=DATE(2026,7,1),G325&lt;=DATE(2026,9,30)),1,0)</x:f>
        <x:v>1</x:v>
      </x:c>
      <x:c r="N325" t="n">
        <x:f>IF(M325=1,IF(G325&lt;=F325,1,0),0)</x:f>
        <x:v>0</x:v>
      </x:c>
      <x:c r="O325" t="n">
        <x:f>IF(AND(M325=1,K325="Sí",G325&gt;F325),1,0)</x:f>
        <x:v>0</x:v>
      </x:c>
      <x:c r="P325" t="n">
        <x:f>IF(AND(M325=1,I325&gt;0),1,0)</x:f>
        <x:v>0</x:v>
      </x:c>
      <x:c r="Q325" t="n">
        <x:f>IF(AND(B325&gt;=DATE(2026,7,1),B325&lt;=DATE(2026,9,30),G325&gt;=DATE(2026,10,1),G325&lt;=DATE(2026,10,7)),1,0)</x:f>
        <x:v>0</x:v>
      </x:c>
      <x:c r="R325" t="n">
        <x:f>IF(AND(B325&gt;=DATE(2026,7,1),B325&lt;=DATE(2026,9,30),G325&gt;DATE(2026,10,7)),1,0)</x:f>
        <x:v>0</x:v>
      </x:c>
      <x:c r="S325" t="n">
        <x:f>IF(AND(M325=1,J325&lt;&gt;"Ninguna"),1,0)</x:f>
        <x:v>1</x:v>
      </x:c>
    </x:row>
    <x:row r="326">
      <x:c r="A326" t="str">
        <x:v>PED-0325</x:v>
      </x:c>
      <x:c r="B326" s="12" t="n">
        <x:v>46208</x:v>
      </x:c>
      <x:c r="C326" t="str">
        <x:v>MecaParts</x:v>
      </x:c>
      <x:c r="D326" t="str">
        <x:v>Componentes mecánicos</x:v>
      </x:c>
      <x:c r="E326" s="10" t="n">
        <x:v>1218.48</x:v>
      </x:c>
      <x:c r="F326" s="12" t="n">
        <x:v>46216</x:v>
      </x:c>
      <x:c r="G326" s="12" t="n">
        <x:v>46216</x:v>
      </x:c>
      <x:c r="H326" t="n">
        <x:v>43</x:v>
      </x:c>
      <x:c r="I326" t="n">
        <x:v>0</x:v>
      </x:c>
      <x:c r="J326" t="str">
        <x:v>Ninguna</x:v>
      </x:c>
      <x:c r="K326" t="str">
        <x:v>No</x:v>
      </x:c>
      <x:c r="L326" t="str">
        <x:v>Valencia</x:v>
      </x:c>
      <x:c r="M326" t="n">
        <x:f>IF(AND(B326&gt;=DATE(2026,7,1),B326&lt;=DATE(2026,9,30),G326&gt;=DATE(2026,7,1),G326&lt;=DATE(2026,9,30)),1,0)</x:f>
        <x:v>1</x:v>
      </x:c>
      <x:c r="N326" t="n">
        <x:f>IF(M326=1,IF(G326&lt;=F326,1,0),0)</x:f>
        <x:v>1</x:v>
      </x:c>
      <x:c r="O326" t="n">
        <x:f>IF(AND(M326=1,K326="Sí",G326&gt;F326),1,0)</x:f>
        <x:v>0</x:v>
      </x:c>
      <x:c r="P326" t="n">
        <x:f>IF(AND(M326=1,I326&gt;0),1,0)</x:f>
        <x:v>0</x:v>
      </x:c>
      <x:c r="Q326" t="n">
        <x:f>IF(AND(B326&gt;=DATE(2026,7,1),B326&lt;=DATE(2026,9,30),G326&gt;=DATE(2026,10,1),G326&lt;=DATE(2026,10,7)),1,0)</x:f>
        <x:v>0</x:v>
      </x:c>
      <x:c r="R326" t="n">
        <x:f>IF(AND(B326&gt;=DATE(2026,7,1),B326&lt;=DATE(2026,9,30),G326&gt;DATE(2026,10,7)),1,0)</x:f>
        <x:v>0</x:v>
      </x:c>
      <x:c r="S326" t="n">
        <x:f>IF(AND(M326=1,J326&lt;&gt;"Ninguna"),1,0)</x:f>
        <x:v>0</x:v>
      </x:c>
    </x:row>
    <x:row r="327">
      <x:c r="A327" t="str">
        <x:v>PED-0326</x:v>
      </x:c>
      <x:c r="B327" s="12" t="n">
        <x:v>46204</x:v>
      </x:c>
      <x:c r="C327" t="str">
        <x:v>ElectraSupply</x:v>
      </x:c>
      <x:c r="D327" t="str">
        <x:v>Componentes eléctricos</x:v>
      </x:c>
      <x:c r="E327" s="10" t="n">
        <x:v>10086</x:v>
      </x:c>
      <x:c r="F327" s="12" t="n">
        <x:v>46216</x:v>
      </x:c>
      <x:c r="G327" s="12" t="n">
        <x:v>46224</x:v>
      </x:c>
      <x:c r="H327" t="n">
        <x:v>268</x:v>
      </x:c>
      <x:c r="I327" t="n">
        <x:v>0</x:v>
      </x:c>
      <x:c r="J327" t="str">
        <x:v>Ninguna</x:v>
      </x:c>
      <x:c r="K327" t="str">
        <x:v>No</x:v>
      </x:c>
      <x:c r="L327" t="str">
        <x:v>Barcelona</x:v>
      </x:c>
      <x:c r="M327" t="n">
        <x:f>IF(AND(B327&gt;=DATE(2026,7,1),B327&lt;=DATE(2026,9,30),G327&gt;=DATE(2026,7,1),G327&lt;=DATE(2026,9,30)),1,0)</x:f>
        <x:v>1</x:v>
      </x:c>
      <x:c r="N327" t="n">
        <x:f>IF(M327=1,IF(G327&lt;=F327,1,0),0)</x:f>
        <x:v>0</x:v>
      </x:c>
      <x:c r="O327" t="n">
        <x:f>IF(AND(M327=1,K327="Sí",G327&gt;F327),1,0)</x:f>
        <x:v>0</x:v>
      </x:c>
      <x:c r="P327" t="n">
        <x:f>IF(AND(M327=1,I327&gt;0),1,0)</x:f>
        <x:v>0</x:v>
      </x:c>
      <x:c r="Q327" t="n">
        <x:f>IF(AND(B327&gt;=DATE(2026,7,1),B327&lt;=DATE(2026,9,30),G327&gt;=DATE(2026,10,1),G327&lt;=DATE(2026,10,7)),1,0)</x:f>
        <x:v>0</x:v>
      </x:c>
      <x:c r="R327" t="n">
        <x:f>IF(AND(B327&gt;=DATE(2026,7,1),B327&lt;=DATE(2026,9,30),G327&gt;DATE(2026,10,7)),1,0)</x:f>
        <x:v>0</x:v>
      </x:c>
      <x:c r="S327" t="n">
        <x:f>IF(AND(M327=1,J327&lt;&gt;"Ninguna"),1,0)</x:f>
        <x:v>0</x:v>
      </x:c>
    </x:row>
    <x:row r="328">
      <x:c r="A328" t="str">
        <x:v>PED-0327</x:v>
      </x:c>
      <x:c r="B328" s="12" t="n">
        <x:v>46254</x:v>
      </x:c>
      <x:c r="C328" t="str">
        <x:v>MecaParts</x:v>
      </x:c>
      <x:c r="D328" t="str">
        <x:v>Componentes mecánicos</x:v>
      </x:c>
      <x:c r="E328" s="10" t="n">
        <x:v>8159.09</x:v>
      </x:c>
      <x:c r="F328" s="12" t="n">
        <x:v>46263</x:v>
      </x:c>
      <x:c r="G328" s="12" t="n">
        <x:v>46262</x:v>
      </x:c>
      <x:c r="H328" t="n">
        <x:v>305</x:v>
      </x:c>
      <x:c r="I328" t="n">
        <x:v>0</x:v>
      </x:c>
      <x:c r="J328" t="str">
        <x:v>Ninguna</x:v>
      </x:c>
      <x:c r="K328" t="str">
        <x:v>No</x:v>
      </x:c>
      <x:c r="L328" t="str">
        <x:v>Barcelona</x:v>
      </x:c>
      <x:c r="M328" t="n">
        <x:f>IF(AND(B328&gt;=DATE(2026,7,1),B328&lt;=DATE(2026,9,30),G328&gt;=DATE(2026,7,1),G328&lt;=DATE(2026,9,30)),1,0)</x:f>
        <x:v>1</x:v>
      </x:c>
      <x:c r="N328" t="n">
        <x:f>IF(M328=1,IF(G328&lt;=F328,1,0),0)</x:f>
        <x:v>1</x:v>
      </x:c>
      <x:c r="O328" t="n">
        <x:f>IF(AND(M328=1,K328="Sí",G328&gt;F328),1,0)</x:f>
        <x:v>0</x:v>
      </x:c>
      <x:c r="P328" t="n">
        <x:f>IF(AND(M328=1,I328&gt;0),1,0)</x:f>
        <x:v>0</x:v>
      </x:c>
      <x:c r="Q328" t="n">
        <x:f>IF(AND(B328&gt;=DATE(2026,7,1),B328&lt;=DATE(2026,9,30),G328&gt;=DATE(2026,10,1),G328&lt;=DATE(2026,10,7)),1,0)</x:f>
        <x:v>0</x:v>
      </x:c>
      <x:c r="R328" t="n">
        <x:f>IF(AND(B328&gt;=DATE(2026,7,1),B328&lt;=DATE(2026,9,30),G328&gt;DATE(2026,10,7)),1,0)</x:f>
        <x:v>0</x:v>
      </x:c>
      <x:c r="S328" t="n">
        <x:f>IF(AND(M328=1,J328&lt;&gt;"Ninguna"),1,0)</x:f>
        <x:v>0</x:v>
      </x:c>
    </x:row>
    <x:row r="329">
      <x:c r="A329" t="str">
        <x:v>PED-0328</x:v>
      </x:c>
      <x:c r="B329" s="12" t="n">
        <x:v>46261</x:v>
      </x:c>
      <x:c r="C329" t="str">
        <x:v>OfiPlus</x:v>
      </x:c>
      <x:c r="D329" t="str">
        <x:v>Consumibles</x:v>
      </x:c>
      <x:c r="E329" s="10" t="n">
        <x:v>4405.47</x:v>
      </x:c>
      <x:c r="F329" s="12" t="n">
        <x:v>46266</x:v>
      </x:c>
      <x:c r="G329" s="12" t="n">
        <x:v>46268</x:v>
      </x:c>
      <x:c r="H329" t="n">
        <x:v>105</x:v>
      </x:c>
      <x:c r="I329" t="n">
        <x:v>8</x:v>
      </x:c>
      <x:c r="J329" t="str">
        <x:v>Calidad</x:v>
      </x:c>
      <x:c r="K329" t="str">
        <x:v>No</x:v>
      </x:c>
      <x:c r="L329" t="str">
        <x:v>Barcelona</x:v>
      </x:c>
      <x:c r="M329" t="n">
        <x:f>IF(AND(B329&gt;=DATE(2026,7,1),B329&lt;=DATE(2026,9,30),G329&gt;=DATE(2026,7,1),G329&lt;=DATE(2026,9,30)),1,0)</x:f>
        <x:v>1</x:v>
      </x:c>
      <x:c r="N329" t="n">
        <x:f>IF(M329=1,IF(G329&lt;=F329,1,0),0)</x:f>
        <x:v>0</x:v>
      </x:c>
      <x:c r="O329" t="n">
        <x:f>IF(AND(M329=1,K329="Sí",G329&gt;F329),1,0)</x:f>
        <x:v>0</x:v>
      </x:c>
      <x:c r="P329" t="n">
        <x:f>IF(AND(M329=1,I329&gt;0),1,0)</x:f>
        <x:v>1</x:v>
      </x:c>
      <x:c r="Q329" t="n">
        <x:f>IF(AND(B329&gt;=DATE(2026,7,1),B329&lt;=DATE(2026,9,30),G329&gt;=DATE(2026,10,1),G329&lt;=DATE(2026,10,7)),1,0)</x:f>
        <x:v>0</x:v>
      </x:c>
      <x:c r="R329" t="n">
        <x:f>IF(AND(B329&gt;=DATE(2026,7,1),B329&lt;=DATE(2026,9,30),G329&gt;DATE(2026,10,7)),1,0)</x:f>
        <x:v>0</x:v>
      </x:c>
      <x:c r="S329" t="n">
        <x:f>IF(AND(M329=1,J329&lt;&gt;"Ninguna"),1,0)</x:f>
        <x:v>1</x:v>
      </x:c>
    </x:row>
    <x:row r="330">
      <x:c r="A330" t="str">
        <x:v>PED-0329</x:v>
      </x:c>
      <x:c r="B330" s="12" t="n">
        <x:v>46229</x:v>
      </x:c>
      <x:c r="C330" t="str">
        <x:v>MetalNova</x:v>
      </x:c>
      <x:c r="D330" t="str">
        <x:v>Componentes mecánicos</x:v>
      </x:c>
      <x:c r="E330" s="10" t="n">
        <x:v>2103.32</x:v>
      </x:c>
      <x:c r="F330" s="12" t="n">
        <x:v>46241</x:v>
      </x:c>
      <x:c r="G330" s="12" t="n">
        <x:v>46246</x:v>
      </x:c>
      <x:c r="H330" t="n">
        <x:v>106</x:v>
      </x:c>
      <x:c r="I330" t="n">
        <x:v>0</x:v>
      </x:c>
      <x:c r="J330" t="str">
        <x:v>Ninguna</x:v>
      </x:c>
      <x:c r="K330" t="str">
        <x:v>No</x:v>
      </x:c>
      <x:c r="L330" t="str">
        <x:v>Barcelona</x:v>
      </x:c>
      <x:c r="M330" t="n">
        <x:f>IF(AND(B330&gt;=DATE(2026,7,1),B330&lt;=DATE(2026,9,30),G330&gt;=DATE(2026,7,1),G330&lt;=DATE(2026,9,30)),1,0)</x:f>
        <x:v>1</x:v>
      </x:c>
      <x:c r="N330" t="n">
        <x:f>IF(M330=1,IF(G330&lt;=F330,1,0),0)</x:f>
        <x:v>0</x:v>
      </x:c>
      <x:c r="O330" t="n">
        <x:f>IF(AND(M330=1,K330="Sí",G330&gt;F330),1,0)</x:f>
        <x:v>0</x:v>
      </x:c>
      <x:c r="P330" t="n">
        <x:f>IF(AND(M330=1,I330&gt;0),1,0)</x:f>
        <x:v>0</x:v>
      </x:c>
      <x:c r="Q330" t="n">
        <x:f>IF(AND(B330&gt;=DATE(2026,7,1),B330&lt;=DATE(2026,9,30),G330&gt;=DATE(2026,10,1),G330&lt;=DATE(2026,10,7)),1,0)</x:f>
        <x:v>0</x:v>
      </x:c>
      <x:c r="R330" t="n">
        <x:f>IF(AND(B330&gt;=DATE(2026,7,1),B330&lt;=DATE(2026,9,30),G330&gt;DATE(2026,10,7)),1,0)</x:f>
        <x:v>0</x:v>
      </x:c>
      <x:c r="S330" t="n">
        <x:f>IF(AND(M330=1,J330&lt;&gt;"Ninguna"),1,0)</x:f>
        <x:v>0</x:v>
      </x:c>
    </x:row>
    <x:row r="331">
      <x:c r="A331" t="str">
        <x:v>PED-0330</x:v>
      </x:c>
      <x:c r="B331" s="12" t="n">
        <x:v>46284</x:v>
      </x:c>
      <x:c r="C331" t="str">
        <x:v>MecaParts</x:v>
      </x:c>
      <x:c r="D331" t="str">
        <x:v>Componentes mecánicos</x:v>
      </x:c>
      <x:c r="E331" s="10" t="n">
        <x:v>6323.39</x:v>
      </x:c>
      <x:c r="F331" s="12" t="n">
        <x:v>46295</x:v>
      </x:c>
      <x:c r="G331" s="12" t="n">
        <x:v>46298</x:v>
      </x:c>
      <x:c r="H331" t="n">
        <x:v>135</x:v>
      </x:c>
      <x:c r="I331" t="n">
        <x:v>0</x:v>
      </x:c>
      <x:c r="J331" t="str">
        <x:v>Daño transporte</x:v>
      </x:c>
      <x:c r="K331" t="str">
        <x:v>No</x:v>
      </x:c>
      <x:c r="L331" t="str">
        <x:v>Barcelona</x:v>
      </x:c>
      <x:c r="M331" t="n">
        <x:f>IF(AND(B331&gt;=DATE(2026,7,1),B331&lt;=DATE(2026,9,30),G331&gt;=DATE(2026,7,1),G331&lt;=DATE(2026,9,30)),1,0)</x:f>
        <x:v>0</x:v>
      </x:c>
      <x:c r="N331" t="n">
        <x:f>IF(M331=1,IF(G331&lt;=F331,1,0),0)</x:f>
        <x:v>0</x:v>
      </x:c>
      <x:c r="O331" t="n">
        <x:f>IF(AND(M331=1,K331="Sí",G331&gt;F331),1,0)</x:f>
        <x:v>0</x:v>
      </x:c>
      <x:c r="P331" t="n">
        <x:f>IF(AND(M331=1,I331&gt;0),1,0)</x:f>
        <x:v>0</x:v>
      </x:c>
      <x:c r="Q331" t="n">
        <x:f>IF(AND(B331&gt;=DATE(2026,7,1),B331&lt;=DATE(2026,9,30),G331&gt;=DATE(2026,10,1),G331&lt;=DATE(2026,10,7)),1,0)</x:f>
        <x:v>1</x:v>
      </x:c>
      <x:c r="R331" t="n">
        <x:f>IF(AND(B331&gt;=DATE(2026,7,1),B331&lt;=DATE(2026,9,30),G331&gt;DATE(2026,10,7)),1,0)</x:f>
        <x:v>0</x:v>
      </x:c>
      <x:c r="S331" t="n">
        <x:f>IF(AND(M331=1,J331&lt;&gt;"Ninguna"),1,0)</x:f>
        <x:v>0</x:v>
      </x:c>
    </x:row>
    <x:row r="332">
      <x:c r="A332" t="str">
        <x:v>PED-0331</x:v>
      </x:c>
      <x:c r="B332" s="12" t="n">
        <x:v>46288</x:v>
      </x:c>
      <x:c r="C332" t="str">
        <x:v>ElectraSupply</x:v>
      </x:c>
      <x:c r="D332" t="str">
        <x:v>Componentes eléctricos</x:v>
      </x:c>
      <x:c r="E332" s="10" t="n">
        <x:v>5226.09</x:v>
      </x:c>
      <x:c r="F332" s="12" t="n">
        <x:v>46302</x:v>
      </x:c>
      <x:c r="G332" s="12" t="n">
        <x:v>46307</x:v>
      </x:c>
      <x:c r="H332" t="n">
        <x:v>335</x:v>
      </x:c>
      <x:c r="I332" t="n">
        <x:v>0</x:v>
      </x:c>
      <x:c r="J332" t="str">
        <x:v>Ninguna</x:v>
      </x:c>
      <x:c r="K332" t="str">
        <x:v>No</x:v>
      </x:c>
      <x:c r="L332" t="str">
        <x:v>Barcelona</x:v>
      </x:c>
      <x:c r="M332" t="n">
        <x:f>IF(AND(B332&gt;=DATE(2026,7,1),B332&lt;=DATE(2026,9,30),G332&gt;=DATE(2026,7,1),G332&lt;=DATE(2026,9,30)),1,0)</x:f>
        <x:v>0</x:v>
      </x:c>
      <x:c r="N332" t="n">
        <x:f>IF(M332=1,IF(G332&lt;=F332,1,0),0)</x:f>
        <x:v>0</x:v>
      </x:c>
      <x:c r="O332" t="n">
        <x:f>IF(AND(M332=1,K332="Sí",G332&gt;F332),1,0)</x:f>
        <x:v>0</x:v>
      </x:c>
      <x:c r="P332" t="n">
        <x:f>IF(AND(M332=1,I332&gt;0),1,0)</x:f>
        <x:v>0</x:v>
      </x:c>
      <x:c r="Q332" t="n">
        <x:f>IF(AND(B332&gt;=DATE(2026,7,1),B332&lt;=DATE(2026,9,30),G332&gt;=DATE(2026,10,1),G332&lt;=DATE(2026,10,7)),1,0)</x:f>
        <x:v>0</x:v>
      </x:c>
      <x:c r="R332" t="n">
        <x:f>IF(AND(B332&gt;=DATE(2026,7,1),B332&lt;=DATE(2026,9,30),G332&gt;DATE(2026,10,7)),1,0)</x:f>
        <x:v>1</x:v>
      </x:c>
      <x:c r="S332" t="n">
        <x:f>IF(AND(M332=1,J332&lt;&gt;"Ninguna"),1,0)</x:f>
        <x:v>0</x:v>
      </x:c>
    </x:row>
    <x:row r="333">
      <x:c r="A333" t="str">
        <x:v>PED-0332</x:v>
      </x:c>
      <x:c r="B333" s="12" t="n">
        <x:v>46293</x:v>
      </x:c>
      <x:c r="C333" t="str">
        <x:v>ElectraSupply</x:v>
      </x:c>
      <x:c r="D333" t="str">
        <x:v>Componentes eléctricos</x:v>
      </x:c>
      <x:c r="E333" s="10" t="n">
        <x:v>4474.7</x:v>
      </x:c>
      <x:c r="F333" s="12" t="n">
        <x:v>46306</x:v>
      </x:c>
      <x:c r="G333" s="12" t="n">
        <x:v>46311</x:v>
      </x:c>
      <x:c r="H333" t="n">
        <x:v>214</x:v>
      </x:c>
      <x:c r="I333" t="n">
        <x:v>0</x:v>
      </x:c>
      <x:c r="J333" t="str">
        <x:v>Documentación</x:v>
      </x:c>
      <x:c r="K333" t="str">
        <x:v>No</x:v>
      </x:c>
      <x:c r="L333" t="str">
        <x:v>Barcelona</x:v>
      </x:c>
      <x:c r="M333" t="n">
        <x:f>IF(AND(B333&gt;=DATE(2026,7,1),B333&lt;=DATE(2026,9,30),G333&gt;=DATE(2026,7,1),G333&lt;=DATE(2026,9,30)),1,0)</x:f>
        <x:v>0</x:v>
      </x:c>
      <x:c r="N333" t="n">
        <x:f>IF(M333=1,IF(G333&lt;=F333,1,0),0)</x:f>
        <x:v>0</x:v>
      </x:c>
      <x:c r="O333" t="n">
        <x:f>IF(AND(M333=1,K333="Sí",G333&gt;F333),1,0)</x:f>
        <x:v>0</x:v>
      </x:c>
      <x:c r="P333" t="n">
        <x:f>IF(AND(M333=1,I333&gt;0),1,0)</x:f>
        <x:v>0</x:v>
      </x:c>
      <x:c r="Q333" t="n">
        <x:f>IF(AND(B333&gt;=DATE(2026,7,1),B333&lt;=DATE(2026,9,30),G333&gt;=DATE(2026,10,1),G333&lt;=DATE(2026,10,7)),1,0)</x:f>
        <x:v>0</x:v>
      </x:c>
      <x:c r="R333" t="n">
        <x:f>IF(AND(B333&gt;=DATE(2026,7,1),B333&lt;=DATE(2026,9,30),G333&gt;DATE(2026,10,7)),1,0)</x:f>
        <x:v>1</x:v>
      </x:c>
      <x:c r="S333" t="n">
        <x:f>IF(AND(M333=1,J333&lt;&gt;"Ninguna"),1,0)</x:f>
        <x:v>0</x:v>
      </x:c>
    </x:row>
    <x:row r="334">
      <x:c r="A334" t="str">
        <x:v>PED-0333</x:v>
      </x:c>
      <x:c r="B334" s="12" t="n">
        <x:v>46295</x:v>
      </x:c>
      <x:c r="C334" t="str">
        <x:v>MetalNova</x:v>
      </x:c>
      <x:c r="D334" t="str">
        <x:v>Componentes mecánicos</x:v>
      </x:c>
      <x:c r="E334" s="10" t="n">
        <x:v>4165.3</x:v>
      </x:c>
      <x:c r="F334" s="12" t="n">
        <x:v>46304</x:v>
      </x:c>
      <x:c r="G334" s="12" t="n">
        <x:v>46307</x:v>
      </x:c>
      <x:c r="H334" t="n">
        <x:v>92</x:v>
      </x:c>
      <x:c r="I334" t="n">
        <x:v>0</x:v>
      </x:c>
      <x:c r="J334" t="str">
        <x:v>Ninguna</x:v>
      </x:c>
      <x:c r="K334" t="str">
        <x:v>No</x:v>
      </x:c>
      <x:c r="L334" t="str">
        <x:v>Zaragoza</x:v>
      </x:c>
      <x:c r="M334" t="n">
        <x:f>IF(AND(B334&gt;=DATE(2026,7,1),B334&lt;=DATE(2026,9,30),G334&gt;=DATE(2026,7,1),G334&lt;=DATE(2026,9,30)),1,0)</x:f>
        <x:v>0</x:v>
      </x:c>
      <x:c r="N334" t="n">
        <x:f>IF(M334=1,IF(G334&lt;=F334,1,0),0)</x:f>
        <x:v>0</x:v>
      </x:c>
      <x:c r="O334" t="n">
        <x:f>IF(AND(M334=1,K334="Sí",G334&gt;F334),1,0)</x:f>
        <x:v>0</x:v>
      </x:c>
      <x:c r="P334" t="n">
        <x:f>IF(AND(M334=1,I334&gt;0),1,0)</x:f>
        <x:v>0</x:v>
      </x:c>
      <x:c r="Q334" t="n">
        <x:f>IF(AND(B334&gt;=DATE(2026,7,1),B334&lt;=DATE(2026,9,30),G334&gt;=DATE(2026,10,1),G334&lt;=DATE(2026,10,7)),1,0)</x:f>
        <x:v>0</x:v>
      </x:c>
      <x:c r="R334" t="n">
        <x:f>IF(AND(B334&gt;=DATE(2026,7,1),B334&lt;=DATE(2026,9,30),G334&gt;DATE(2026,10,7)),1,0)</x:f>
        <x:v>1</x:v>
      </x:c>
      <x:c r="S334" t="n">
        <x:f>IF(AND(M334=1,J334&lt;&gt;"Ninguna"),1,0)</x:f>
        <x:v>0</x:v>
      </x:c>
    </x:row>
    <x:row r="335">
      <x:c r="A335" t="str">
        <x:v>PED-0334</x:v>
      </x:c>
      <x:c r="B335" s="12" t="n">
        <x:v>46285</x:v>
      </x:c>
      <x:c r="C335" t="str">
        <x:v>ElectraSupply</x:v>
      </x:c>
      <x:c r="D335" t="str">
        <x:v>Componentes eléctricos</x:v>
      </x:c>
      <x:c r="E335" s="10" t="n">
        <x:v>386.54</x:v>
      </x:c>
      <x:c r="F335" s="12" t="n">
        <x:v>46299</x:v>
      </x:c>
      <x:c r="G335" s="12" t="n">
        <x:v>46303</x:v>
      </x:c>
      <x:c r="H335" t="n">
        <x:v>26</x:v>
      </x:c>
      <x:c r="I335" t="n">
        <x:v>0</x:v>
      </x:c>
      <x:c r="J335" t="str">
        <x:v>Ninguna</x:v>
      </x:c>
      <x:c r="K335" t="str">
        <x:v>No</x:v>
      </x:c>
      <x:c r="L335" t="str">
        <x:v>Barcelona</x:v>
      </x:c>
      <x:c r="M335" t="n">
        <x:f>IF(AND(B335&gt;=DATE(2026,7,1),B335&lt;=DATE(2026,9,30),G335&gt;=DATE(2026,7,1),G335&lt;=DATE(2026,9,30)),1,0)</x:f>
        <x:v>0</x:v>
      </x:c>
      <x:c r="N335" t="n">
        <x:f>IF(M335=1,IF(G335&lt;=F335,1,0),0)</x:f>
        <x:v>0</x:v>
      </x:c>
      <x:c r="O335" t="n">
        <x:f>IF(AND(M335=1,K335="Sí",G335&gt;F335),1,0)</x:f>
        <x:v>0</x:v>
      </x:c>
      <x:c r="P335" t="n">
        <x:f>IF(AND(M335=1,I335&gt;0),1,0)</x:f>
        <x:v>0</x:v>
      </x:c>
      <x:c r="Q335" t="n">
        <x:f>IF(AND(B335&gt;=DATE(2026,7,1),B335&lt;=DATE(2026,9,30),G335&gt;=DATE(2026,10,1),G335&lt;=DATE(2026,10,7)),1,0)</x:f>
        <x:v>0</x:v>
      </x:c>
      <x:c r="R335" t="n">
        <x:f>IF(AND(B335&gt;=DATE(2026,7,1),B335&lt;=DATE(2026,9,30),G335&gt;DATE(2026,10,7)),1,0)</x:f>
        <x:v>1</x:v>
      </x:c>
      <x:c r="S335" t="n">
        <x:f>IF(AND(M335=1,J335&lt;&gt;"Ninguna"),1,0)</x:f>
        <x:v>0</x:v>
      </x:c>
    </x:row>
    <x:row r="336">
      <x:c r="A336" t="str">
        <x:v>PED-0335</x:v>
      </x:c>
      <x:c r="B336" s="12" t="n">
        <x:v>46235</x:v>
      </x:c>
      <x:c r="C336" t="str">
        <x:v>PackPro</x:v>
      </x:c>
      <x:c r="D336" t="str">
        <x:v>Embalaje</x:v>
      </x:c>
      <x:c r="E336" s="10" t="n">
        <x:v>8829.91</x:v>
      </x:c>
      <x:c r="F336" s="12" t="n">
        <x:v>46242</x:v>
      </x:c>
      <x:c r="G336" s="12" t="n">
        <x:v>46240</x:v>
      </x:c>
      <x:c r="H336" t="n">
        <x:v>218</x:v>
      </x:c>
      <x:c r="I336" t="n">
        <x:v>0</x:v>
      </x:c>
      <x:c r="J336" t="str">
        <x:v>Ninguna</x:v>
      </x:c>
      <x:c r="K336" t="str">
        <x:v>No</x:v>
      </x:c>
      <x:c r="L336" t="str">
        <x:v>Zaragoza</x:v>
      </x:c>
      <x:c r="M336" t="n">
        <x:f>IF(AND(B336&gt;=DATE(2026,7,1),B336&lt;=DATE(2026,9,30),G336&gt;=DATE(2026,7,1),G336&lt;=DATE(2026,9,30)),1,0)</x:f>
        <x:v>1</x:v>
      </x:c>
      <x:c r="N336" t="n">
        <x:f>IF(M336=1,IF(G336&lt;=F336,1,0),0)</x:f>
        <x:v>1</x:v>
      </x:c>
      <x:c r="O336" t="n">
        <x:f>IF(AND(M336=1,K336="Sí",G336&gt;F336),1,0)</x:f>
        <x:v>0</x:v>
      </x:c>
      <x:c r="P336" t="n">
        <x:f>IF(AND(M336=1,I336&gt;0),1,0)</x:f>
        <x:v>0</x:v>
      </x:c>
      <x:c r="Q336" t="n">
        <x:f>IF(AND(B336&gt;=DATE(2026,7,1),B336&lt;=DATE(2026,9,30),G336&gt;=DATE(2026,10,1),G336&lt;=DATE(2026,10,7)),1,0)</x:f>
        <x:v>0</x:v>
      </x:c>
      <x:c r="R336" t="n">
        <x:f>IF(AND(B336&gt;=DATE(2026,7,1),B336&lt;=DATE(2026,9,30),G336&gt;DATE(2026,10,7)),1,0)</x:f>
        <x:v>0</x:v>
      </x:c>
      <x:c r="S336" t="n">
        <x:f>IF(AND(M336=1,J336&lt;&gt;"Ninguna"),1,0)</x:f>
        <x:v>0</x:v>
      </x:c>
    </x:row>
    <x:row r="337">
      <x:c r="A337" t="str">
        <x:v>PED-0336</x:v>
      </x:c>
      <x:c r="B337" s="12" t="n">
        <x:v>46268</x:v>
      </x:c>
      <x:c r="C337" t="str">
        <x:v>MetalNova</x:v>
      </x:c>
      <x:c r="D337" t="str">
        <x:v>Componentes mecánicos</x:v>
      </x:c>
      <x:c r="E337" s="10" t="n">
        <x:v>7831.13</x:v>
      </x:c>
      <x:c r="F337" s="12" t="n">
        <x:v>46279</x:v>
      </x:c>
      <x:c r="G337" s="12" t="n">
        <x:v>46281</x:v>
      </x:c>
      <x:c r="H337" t="n">
        <x:v>178</x:v>
      </x:c>
      <x:c r="I337" t="n">
        <x:v>0</x:v>
      </x:c>
      <x:c r="J337" t="str">
        <x:v>Ninguna</x:v>
      </x:c>
      <x:c r="K337" t="str">
        <x:v>No</x:v>
      </x:c>
      <x:c r="L337" t="str">
        <x:v>Valencia</x:v>
      </x:c>
      <x:c r="M337" t="n">
        <x:f>IF(AND(B337&gt;=DATE(2026,7,1),B337&lt;=DATE(2026,9,30),G337&gt;=DATE(2026,7,1),G337&lt;=DATE(2026,9,30)),1,0)</x:f>
        <x:v>1</x:v>
      </x:c>
      <x:c r="N337" t="n">
        <x:f>IF(M337=1,IF(G337&lt;=F337,1,0),0)</x:f>
        <x:v>0</x:v>
      </x:c>
      <x:c r="O337" t="n">
        <x:f>IF(AND(M337=1,K337="Sí",G337&gt;F337),1,0)</x:f>
        <x:v>0</x:v>
      </x:c>
      <x:c r="P337" t="n">
        <x:f>IF(AND(M337=1,I337&gt;0),1,0)</x:f>
        <x:v>0</x:v>
      </x:c>
      <x:c r="Q337" t="n">
        <x:f>IF(AND(B337&gt;=DATE(2026,7,1),B337&lt;=DATE(2026,9,30),G337&gt;=DATE(2026,10,1),G337&lt;=DATE(2026,10,7)),1,0)</x:f>
        <x:v>0</x:v>
      </x:c>
      <x:c r="R337" t="n">
        <x:f>IF(AND(B337&gt;=DATE(2026,7,1),B337&lt;=DATE(2026,9,30),G337&gt;DATE(2026,10,7)),1,0)</x:f>
        <x:v>0</x:v>
      </x:c>
      <x:c r="S337" t="n">
        <x:f>IF(AND(M337=1,J337&lt;&gt;"Ninguna"),1,0)</x:f>
        <x:v>0</x:v>
      </x:c>
    </x:row>
    <x:row r="338">
      <x:c r="A338" t="str">
        <x:v>PED-0337</x:v>
      </x:c>
      <x:c r="B338" s="12" t="n">
        <x:v>46223</x:v>
      </x:c>
      <x:c r="C338" t="str">
        <x:v>ElectraSupply</x:v>
      </x:c>
      <x:c r="D338" t="str">
        <x:v>Componentes eléctricos</x:v>
      </x:c>
      <x:c r="E338" s="10" t="n">
        <x:v>13395.21</x:v>
      </x:c>
      <x:c r="F338" s="12" t="n">
        <x:v>46236</x:v>
      </x:c>
      <x:c r="G338" s="12" t="n">
        <x:v>46242</x:v>
      </x:c>
      <x:c r="H338" t="n">
        <x:v>339</x:v>
      </x:c>
      <x:c r="I338" t="n">
        <x:v>0</x:v>
      </x:c>
      <x:c r="J338" t="str">
        <x:v>Ninguna</x:v>
      </x:c>
      <x:c r="K338" t="str">
        <x:v>No</x:v>
      </x:c>
      <x:c r="L338" t="str">
        <x:v>Valencia</x:v>
      </x:c>
      <x:c r="M338" t="n">
        <x:f>IF(AND(B338&gt;=DATE(2026,7,1),B338&lt;=DATE(2026,9,30),G338&gt;=DATE(2026,7,1),G338&lt;=DATE(2026,9,30)),1,0)</x:f>
        <x:v>1</x:v>
      </x:c>
      <x:c r="N338" t="n">
        <x:f>IF(M338=1,IF(G338&lt;=F338,1,0),0)</x:f>
        <x:v>0</x:v>
      </x:c>
      <x:c r="O338" t="n">
        <x:f>IF(AND(M338=1,K338="Sí",G338&gt;F338),1,0)</x:f>
        <x:v>0</x:v>
      </x:c>
      <x:c r="P338" t="n">
        <x:f>IF(AND(M338=1,I338&gt;0),1,0)</x:f>
        <x:v>0</x:v>
      </x:c>
      <x:c r="Q338" t="n">
        <x:f>IF(AND(B338&gt;=DATE(2026,7,1),B338&lt;=DATE(2026,9,30),G338&gt;=DATE(2026,10,1),G338&lt;=DATE(2026,10,7)),1,0)</x:f>
        <x:v>0</x:v>
      </x:c>
      <x:c r="R338" t="n">
        <x:f>IF(AND(B338&gt;=DATE(2026,7,1),B338&lt;=DATE(2026,9,30),G338&gt;DATE(2026,10,7)),1,0)</x:f>
        <x:v>0</x:v>
      </x:c>
      <x:c r="S338" t="n">
        <x:f>IF(AND(M338=1,J338&lt;&gt;"Ninguna"),1,0)</x:f>
        <x:v>0</x:v>
      </x:c>
    </x:row>
    <x:row r="339">
      <x:c r="A339" t="str">
        <x:v>PED-0338</x:v>
      </x:c>
      <x:c r="B339" s="12" t="n">
        <x:v>46208</x:v>
      </x:c>
      <x:c r="C339" t="str">
        <x:v>MecaParts</x:v>
      </x:c>
      <x:c r="D339" t="str">
        <x:v>Componentes mecánicos</x:v>
      </x:c>
      <x:c r="E339" s="10" t="n">
        <x:v>9459.79</x:v>
      </x:c>
      <x:c r="F339" s="12" t="n">
        <x:v>46218</x:v>
      </x:c>
      <x:c r="G339" s="12" t="n">
        <x:v>46217</x:v>
      </x:c>
      <x:c r="H339" t="n">
        <x:v>215</x:v>
      </x:c>
      <x:c r="I339" t="n">
        <x:v>0</x:v>
      </x:c>
      <x:c r="J339" t="str">
        <x:v>Ninguna</x:v>
      </x:c>
      <x:c r="K339" t="str">
        <x:v>No</x:v>
      </x:c>
      <x:c r="L339" t="str">
        <x:v>Barcelona</x:v>
      </x:c>
      <x:c r="M339" t="n">
        <x:f>IF(AND(B339&gt;=DATE(2026,7,1),B339&lt;=DATE(2026,9,30),G339&gt;=DATE(2026,7,1),G339&lt;=DATE(2026,9,30)),1,0)</x:f>
        <x:v>1</x:v>
      </x:c>
      <x:c r="N339" t="n">
        <x:f>IF(M339=1,IF(G339&lt;=F339,1,0),0)</x:f>
        <x:v>1</x:v>
      </x:c>
      <x:c r="O339" t="n">
        <x:f>IF(AND(M339=1,K339="Sí",G339&gt;F339),1,0)</x:f>
        <x:v>0</x:v>
      </x:c>
      <x:c r="P339" t="n">
        <x:f>IF(AND(M339=1,I339&gt;0),1,0)</x:f>
        <x:v>0</x:v>
      </x:c>
      <x:c r="Q339" t="n">
        <x:f>IF(AND(B339&gt;=DATE(2026,7,1),B339&lt;=DATE(2026,9,30),G339&gt;=DATE(2026,10,1),G339&lt;=DATE(2026,10,7)),1,0)</x:f>
        <x:v>0</x:v>
      </x:c>
      <x:c r="R339" t="n">
        <x:f>IF(AND(B339&gt;=DATE(2026,7,1),B339&lt;=DATE(2026,9,30),G339&gt;DATE(2026,10,7)),1,0)</x:f>
        <x:v>0</x:v>
      </x:c>
      <x:c r="S339" t="n">
        <x:f>IF(AND(M339=1,J339&lt;&gt;"Ninguna"),1,0)</x:f>
        <x:v>0</x:v>
      </x:c>
    </x:row>
    <x:row r="340">
      <x:c r="A340" t="str">
        <x:v>PED-0339</x:v>
      </x:c>
      <x:c r="B340" s="12" t="n">
        <x:v>46277</x:v>
      </x:c>
      <x:c r="C340" t="str">
        <x:v>MecaParts</x:v>
      </x:c>
      <x:c r="D340" t="str">
        <x:v>Componentes mecánicos</x:v>
      </x:c>
      <x:c r="E340" s="10" t="n">
        <x:v>4779.25</x:v>
      </x:c>
      <x:c r="F340" s="12" t="n">
        <x:v>46286</x:v>
      </x:c>
      <x:c r="G340" s="12" t="n">
        <x:v>46293</x:v>
      </x:c>
      <x:c r="H340" t="n">
        <x:v>120</x:v>
      </x:c>
      <x:c r="I340" t="n">
        <x:v>4</x:v>
      </x:c>
      <x:c r="J340" t="str">
        <x:v>Calidad</x:v>
      </x:c>
      <x:c r="K340" t="str">
        <x:v>No</x:v>
      </x:c>
      <x:c r="L340" t="str">
        <x:v>Valencia</x:v>
      </x:c>
      <x:c r="M340" t="n">
        <x:f>IF(AND(B340&gt;=DATE(2026,7,1),B340&lt;=DATE(2026,9,30),G340&gt;=DATE(2026,7,1),G340&lt;=DATE(2026,9,30)),1,0)</x:f>
        <x:v>1</x:v>
      </x:c>
      <x:c r="N340" t="n">
        <x:f>IF(M340=1,IF(G340&lt;=F340,1,0),0)</x:f>
        <x:v>0</x:v>
      </x:c>
      <x:c r="O340" t="n">
        <x:f>IF(AND(M340=1,K340="Sí",G340&gt;F340),1,0)</x:f>
        <x:v>0</x:v>
      </x:c>
      <x:c r="P340" t="n">
        <x:f>IF(AND(M340=1,I340&gt;0),1,0)</x:f>
        <x:v>1</x:v>
      </x:c>
      <x:c r="Q340" t="n">
        <x:f>IF(AND(B340&gt;=DATE(2026,7,1),B340&lt;=DATE(2026,9,30),G340&gt;=DATE(2026,10,1),G340&lt;=DATE(2026,10,7)),1,0)</x:f>
        <x:v>0</x:v>
      </x:c>
      <x:c r="R340" t="n">
        <x:f>IF(AND(B340&gt;=DATE(2026,7,1),B340&lt;=DATE(2026,9,30),G340&gt;DATE(2026,10,7)),1,0)</x:f>
        <x:v>0</x:v>
      </x:c>
      <x:c r="S340" t="n">
        <x:f>IF(AND(M340=1,J340&lt;&gt;"Ninguna"),1,0)</x:f>
        <x:v>1</x:v>
      </x:c>
    </x:row>
    <x:row r="341">
      <x:c r="A341" t="str">
        <x:v>PED-0340</x:v>
      </x:c>
      <x:c r="B341" s="12" t="n">
        <x:v>46205</x:v>
      </x:c>
      <x:c r="C341" t="str">
        <x:v>MecaParts</x:v>
      </x:c>
      <x:c r="D341" t="str">
        <x:v>Componentes mecánicos</x:v>
      </x:c>
      <x:c r="E341" s="10" t="n">
        <x:v>6506.48</x:v>
      </x:c>
      <x:c r="F341" s="12" t="n">
        <x:v>46215</x:v>
      </x:c>
      <x:c r="G341" s="12" t="n">
        <x:v>46218</x:v>
      </x:c>
      <x:c r="H341" t="n">
        <x:v>263</x:v>
      </x:c>
      <x:c r="I341" t="n">
        <x:v>0</x:v>
      </x:c>
      <x:c r="J341" t="str">
        <x:v>Ninguna</x:v>
      </x:c>
      <x:c r="K341" t="str">
        <x:v>No</x:v>
      </x:c>
      <x:c r="L341" t="str">
        <x:v>Barcelona</x:v>
      </x:c>
      <x:c r="M341" t="n">
        <x:f>IF(AND(B341&gt;=DATE(2026,7,1),B341&lt;=DATE(2026,9,30),G341&gt;=DATE(2026,7,1),G341&lt;=DATE(2026,9,30)),1,0)</x:f>
        <x:v>1</x:v>
      </x:c>
      <x:c r="N341" t="n">
        <x:f>IF(M341=1,IF(G341&lt;=F341,1,0),0)</x:f>
        <x:v>0</x:v>
      </x:c>
      <x:c r="O341" t="n">
        <x:f>IF(AND(M341=1,K341="Sí",G341&gt;F341),1,0)</x:f>
        <x:v>0</x:v>
      </x:c>
      <x:c r="P341" t="n">
        <x:f>IF(AND(M341=1,I341&gt;0),1,0)</x:f>
        <x:v>0</x:v>
      </x:c>
      <x:c r="Q341" t="n">
        <x:f>IF(AND(B341&gt;=DATE(2026,7,1),B341&lt;=DATE(2026,9,30),G341&gt;=DATE(2026,10,1),G341&lt;=DATE(2026,10,7)),1,0)</x:f>
        <x:v>0</x:v>
      </x:c>
      <x:c r="R341" t="n">
        <x:f>IF(AND(B341&gt;=DATE(2026,7,1),B341&lt;=DATE(2026,9,30),G341&gt;DATE(2026,10,7)),1,0)</x:f>
        <x:v>0</x:v>
      </x:c>
      <x:c r="S341" t="n">
        <x:f>IF(AND(M341=1,J341&lt;&gt;"Ninguna"),1,0)</x:f>
        <x:v>0</x:v>
      </x:c>
    </x:row>
    <x:row r="342">
      <x:c r="A342" t="str">
        <x:v>PED-0341</x:v>
      </x:c>
      <x:c r="B342" s="12" t="n">
        <x:v>46281</x:v>
      </x:c>
      <x:c r="C342" t="str">
        <x:v>ElectraSupply</x:v>
      </x:c>
      <x:c r="D342" t="str">
        <x:v>Componentes eléctricos</x:v>
      </x:c>
      <x:c r="E342" s="10" t="n">
        <x:v>9871.07</x:v>
      </x:c>
      <x:c r="F342" s="12" t="n">
        <x:v>46293</x:v>
      </x:c>
      <x:c r="G342" s="12" t="n">
        <x:v>46295</x:v>
      </x:c>
      <x:c r="H342" t="n">
        <x:v>273</x:v>
      </x:c>
      <x:c r="I342" t="n">
        <x:v>0</x:v>
      </x:c>
      <x:c r="J342" t="str">
        <x:v>Ninguna</x:v>
      </x:c>
      <x:c r="K342" t="str">
        <x:v>No</x:v>
      </x:c>
      <x:c r="L342" t="str">
        <x:v>Valencia</x:v>
      </x:c>
      <x:c r="M342" t="n">
        <x:f>IF(AND(B342&gt;=DATE(2026,7,1),B342&lt;=DATE(2026,9,30),G342&gt;=DATE(2026,7,1),G342&lt;=DATE(2026,9,30)),1,0)</x:f>
        <x:v>1</x:v>
      </x:c>
      <x:c r="N342" t="n">
        <x:f>IF(M342=1,IF(G342&lt;=F342,1,0),0)</x:f>
        <x:v>0</x:v>
      </x:c>
      <x:c r="O342" t="n">
        <x:f>IF(AND(M342=1,K342="Sí",G342&gt;F342),1,0)</x:f>
        <x:v>0</x:v>
      </x:c>
      <x:c r="P342" t="n">
        <x:f>IF(AND(M342=1,I342&gt;0),1,0)</x:f>
        <x:v>0</x:v>
      </x:c>
      <x:c r="Q342" t="n">
        <x:f>IF(AND(B342&gt;=DATE(2026,7,1),B342&lt;=DATE(2026,9,30),G342&gt;=DATE(2026,10,1),G342&lt;=DATE(2026,10,7)),1,0)</x:f>
        <x:v>0</x:v>
      </x:c>
      <x:c r="R342" t="n">
        <x:f>IF(AND(B342&gt;=DATE(2026,7,1),B342&lt;=DATE(2026,9,30),G342&gt;DATE(2026,10,7)),1,0)</x:f>
        <x:v>0</x:v>
      </x:c>
      <x:c r="S342" t="n">
        <x:f>IF(AND(M342=1,J342&lt;&gt;"Ninguna"),1,0)</x:f>
        <x:v>0</x:v>
      </x:c>
    </x:row>
    <x:row r="343">
      <x:c r="A343" t="str">
        <x:v>PED-0342</x:v>
      </x:c>
      <x:c r="B343" s="12" t="n">
        <x:v>46261</x:v>
      </x:c>
      <x:c r="C343" t="str">
        <x:v>MecaParts</x:v>
      </x:c>
      <x:c r="D343" t="str">
        <x:v>Componentes mecánicos</x:v>
      </x:c>
      <x:c r="E343" s="10" t="n">
        <x:v>3669.87</x:v>
      </x:c>
      <x:c r="F343" s="12" t="n">
        <x:v>46269</x:v>
      </x:c>
      <x:c r="G343" s="12" t="n">
        <x:v>46267</x:v>
      </x:c>
      <x:c r="H343" t="n">
        <x:v>120</x:v>
      </x:c>
      <x:c r="I343" t="n">
        <x:v>0</x:v>
      </x:c>
      <x:c r="J343" t="str">
        <x:v>Ninguna</x:v>
      </x:c>
      <x:c r="K343" t="str">
        <x:v>Sí</x:v>
      </x:c>
      <x:c r="L343" t="str">
        <x:v>Valencia</x:v>
      </x:c>
      <x:c r="M343" t="n">
        <x:f>IF(AND(B343&gt;=DATE(2026,7,1),B343&lt;=DATE(2026,9,30),G343&gt;=DATE(2026,7,1),G343&lt;=DATE(2026,9,30)),1,0)</x:f>
        <x:v>1</x:v>
      </x:c>
      <x:c r="N343" t="n">
        <x:f>IF(M343=1,IF(G343&lt;=F343,1,0),0)</x:f>
        <x:v>1</x:v>
      </x:c>
      <x:c r="O343" t="n">
        <x:f>IF(AND(M343=1,K343="Sí",G343&gt;F343),1,0)</x:f>
        <x:v>0</x:v>
      </x:c>
      <x:c r="P343" t="n">
        <x:f>IF(AND(M343=1,I343&gt;0),1,0)</x:f>
        <x:v>0</x:v>
      </x:c>
      <x:c r="Q343" t="n">
        <x:f>IF(AND(B343&gt;=DATE(2026,7,1),B343&lt;=DATE(2026,9,30),G343&gt;=DATE(2026,10,1),G343&lt;=DATE(2026,10,7)),1,0)</x:f>
        <x:v>0</x:v>
      </x:c>
      <x:c r="R343" t="n">
        <x:f>IF(AND(B343&gt;=DATE(2026,7,1),B343&lt;=DATE(2026,9,30),G343&gt;DATE(2026,10,7)),1,0)</x:f>
        <x:v>0</x:v>
      </x:c>
      <x:c r="S343" t="n">
        <x:f>IF(AND(M343=1,J343&lt;&gt;"Ninguna"),1,0)</x:f>
        <x:v>0</x:v>
      </x:c>
    </x:row>
    <x:row r="344">
      <x:c r="A344" t="str">
        <x:v>PED-0343</x:v>
      </x:c>
      <x:c r="B344" s="12" t="n">
        <x:v>46277</x:v>
      </x:c>
      <x:c r="C344" t="str">
        <x:v>MetalNova</x:v>
      </x:c>
      <x:c r="D344" t="str">
        <x:v>Materia prima</x:v>
      </x:c>
      <x:c r="E344" s="10" t="n">
        <x:v>1175.25</x:v>
      </x:c>
      <x:c r="F344" s="12" t="n">
        <x:v>46287</x:v>
      </x:c>
      <x:c r="G344" s="12" t="n">
        <x:v>46289</x:v>
      </x:c>
      <x:c r="H344" t="n">
        <x:v>153</x:v>
      </x:c>
      <x:c r="I344" t="n">
        <x:v>18</x:v>
      </x:c>
      <x:c r="J344" t="str">
        <x:v>Calidad</x:v>
      </x:c>
      <x:c r="K344" t="str">
        <x:v>No</x:v>
      </x:c>
      <x:c r="L344" t="str">
        <x:v>Zaragoza</x:v>
      </x:c>
      <x:c r="M344" t="n">
        <x:f>IF(AND(B344&gt;=DATE(2026,7,1),B344&lt;=DATE(2026,9,30),G344&gt;=DATE(2026,7,1),G344&lt;=DATE(2026,9,30)),1,0)</x:f>
        <x:v>1</x:v>
      </x:c>
      <x:c r="N344" t="n">
        <x:f>IF(M344=1,IF(G344&lt;=F344,1,0),0)</x:f>
        <x:v>0</x:v>
      </x:c>
      <x:c r="O344" t="n">
        <x:f>IF(AND(M344=1,K344="Sí",G344&gt;F344),1,0)</x:f>
        <x:v>0</x:v>
      </x:c>
      <x:c r="P344" t="n">
        <x:f>IF(AND(M344=1,I344&gt;0),1,0)</x:f>
        <x:v>1</x:v>
      </x:c>
      <x:c r="Q344" t="n">
        <x:f>IF(AND(B344&gt;=DATE(2026,7,1),B344&lt;=DATE(2026,9,30),G344&gt;=DATE(2026,10,1),G344&lt;=DATE(2026,10,7)),1,0)</x:f>
        <x:v>0</x:v>
      </x:c>
      <x:c r="R344" t="n">
        <x:f>IF(AND(B344&gt;=DATE(2026,7,1),B344&lt;=DATE(2026,9,30),G344&gt;DATE(2026,10,7)),1,0)</x:f>
        <x:v>0</x:v>
      </x:c>
      <x:c r="S344" t="n">
        <x:f>IF(AND(M344=1,J344&lt;&gt;"Ninguna"),1,0)</x:f>
        <x:v>1</x:v>
      </x:c>
    </x:row>
    <x:row r="345">
      <x:c r="A345" t="str">
        <x:v>PED-0344</x:v>
      </x:c>
      <x:c r="B345" s="12" t="n">
        <x:v>46234</x:v>
      </x:c>
      <x:c r="C345" t="str">
        <x:v>MetalNova</x:v>
      </x:c>
      <x:c r="D345" t="str">
        <x:v>Materia prima</x:v>
      </x:c>
      <x:c r="E345" s="10" t="n">
        <x:v>11375.38</x:v>
      </x:c>
      <x:c r="F345" s="12" t="n">
        <x:v>46246</x:v>
      </x:c>
      <x:c r="G345" s="12" t="n">
        <x:v>46249</x:v>
      </x:c>
      <x:c r="H345" t="n">
        <x:v>382</x:v>
      </x:c>
      <x:c r="I345" t="n">
        <x:v>0</x:v>
      </x:c>
      <x:c r="J345" t="str">
        <x:v>Ninguna</x:v>
      </x:c>
      <x:c r="K345" t="str">
        <x:v>No</x:v>
      </x:c>
      <x:c r="L345" t="str">
        <x:v>Zaragoza</x:v>
      </x:c>
      <x:c r="M345" t="n">
        <x:f>IF(AND(B345&gt;=DATE(2026,7,1),B345&lt;=DATE(2026,9,30),G345&gt;=DATE(2026,7,1),G345&lt;=DATE(2026,9,30)),1,0)</x:f>
        <x:v>1</x:v>
      </x:c>
      <x:c r="N345" t="n">
        <x:f>IF(M345=1,IF(G345&lt;=F345,1,0),0)</x:f>
        <x:v>0</x:v>
      </x:c>
      <x:c r="O345" t="n">
        <x:f>IF(AND(M345=1,K345="Sí",G345&gt;F345),1,0)</x:f>
        <x:v>0</x:v>
      </x:c>
      <x:c r="P345" t="n">
        <x:f>IF(AND(M345=1,I345&gt;0),1,0)</x:f>
        <x:v>0</x:v>
      </x:c>
      <x:c r="Q345" t="n">
        <x:f>IF(AND(B345&gt;=DATE(2026,7,1),B345&lt;=DATE(2026,9,30),G345&gt;=DATE(2026,10,1),G345&lt;=DATE(2026,10,7)),1,0)</x:f>
        <x:v>0</x:v>
      </x:c>
      <x:c r="R345" t="n">
        <x:f>IF(AND(B345&gt;=DATE(2026,7,1),B345&lt;=DATE(2026,9,30),G345&gt;DATE(2026,10,7)),1,0)</x:f>
        <x:v>0</x:v>
      </x:c>
      <x:c r="S345" t="n">
        <x:f>IF(AND(M345=1,J345&lt;&gt;"Ninguna"),1,0)</x:f>
        <x:v>0</x:v>
      </x:c>
    </x:row>
    <x:row r="346">
      <x:c r="A346" t="str">
        <x:v>PED-0345</x:v>
      </x:c>
      <x:c r="B346" s="12" t="n">
        <x:v>46275</x:v>
      </x:c>
      <x:c r="C346" t="str">
        <x:v>MetalNova</x:v>
      </x:c>
      <x:c r="D346" t="str">
        <x:v>Materia prima</x:v>
      </x:c>
      <x:c r="E346" s="10" t="n">
        <x:v>2738.17</x:v>
      </x:c>
      <x:c r="F346" s="12" t="n">
        <x:v>46285</x:v>
      </x:c>
      <x:c r="G346" s="12" t="n">
        <x:v>46288</x:v>
      </x:c>
      <x:c r="H346" t="n">
        <x:v>54</x:v>
      </x:c>
      <x:c r="I346" t="n">
        <x:v>0</x:v>
      </x:c>
      <x:c r="J346" t="str">
        <x:v>Daño transporte</x:v>
      </x:c>
      <x:c r="K346" t="str">
        <x:v>No</x:v>
      </x:c>
      <x:c r="L346" t="str">
        <x:v>Valencia</x:v>
      </x:c>
      <x:c r="M346" t="n">
        <x:f>IF(AND(B346&gt;=DATE(2026,7,1),B346&lt;=DATE(2026,9,30),G346&gt;=DATE(2026,7,1),G346&lt;=DATE(2026,9,30)),1,0)</x:f>
        <x:v>1</x:v>
      </x:c>
      <x:c r="N346" t="n">
        <x:f>IF(M346=1,IF(G346&lt;=F346,1,0),0)</x:f>
        <x:v>0</x:v>
      </x:c>
      <x:c r="O346" t="n">
        <x:f>IF(AND(M346=1,K346="Sí",G346&gt;F346),1,0)</x:f>
        <x:v>0</x:v>
      </x:c>
      <x:c r="P346" t="n">
        <x:f>IF(AND(M346=1,I346&gt;0),1,0)</x:f>
        <x:v>0</x:v>
      </x:c>
      <x:c r="Q346" t="n">
        <x:f>IF(AND(B346&gt;=DATE(2026,7,1),B346&lt;=DATE(2026,9,30),G346&gt;=DATE(2026,10,1),G346&lt;=DATE(2026,10,7)),1,0)</x:f>
        <x:v>0</x:v>
      </x:c>
      <x:c r="R346" t="n">
        <x:f>IF(AND(B346&gt;=DATE(2026,7,1),B346&lt;=DATE(2026,9,30),G346&gt;DATE(2026,10,7)),1,0)</x:f>
        <x:v>0</x:v>
      </x:c>
      <x:c r="S346" t="n">
        <x:f>IF(AND(M346=1,J346&lt;&gt;"Ninguna"),1,0)</x:f>
        <x:v>1</x:v>
      </x:c>
    </x:row>
    <x:row r="347">
      <x:c r="A347" t="str">
        <x:v>PED-0346</x:v>
      </x:c>
      <x:c r="B347" s="12" t="n">
        <x:v>46249</x:v>
      </x:c>
      <x:c r="C347" t="str">
        <x:v>MetalNova</x:v>
      </x:c>
      <x:c r="D347" t="str">
        <x:v>Materia prima</x:v>
      </x:c>
      <x:c r="E347" s="10" t="n">
        <x:v>2312.3</x:v>
      </x:c>
      <x:c r="F347" s="12" t="n">
        <x:v>46261</x:v>
      </x:c>
      <x:c r="G347" s="12" t="n">
        <x:v>46264</x:v>
      </x:c>
      <x:c r="H347" t="n">
        <x:v>195</x:v>
      </x:c>
      <x:c r="I347" t="n">
        <x:v>0</x:v>
      </x:c>
      <x:c r="J347" t="str">
        <x:v>Ninguna</x:v>
      </x:c>
      <x:c r="K347" t="str">
        <x:v>No</x:v>
      </x:c>
      <x:c r="L347" t="str">
        <x:v>Valencia</x:v>
      </x:c>
      <x:c r="M347" t="n">
        <x:f>IF(AND(B347&gt;=DATE(2026,7,1),B347&lt;=DATE(2026,9,30),G347&gt;=DATE(2026,7,1),G347&lt;=DATE(2026,9,30)),1,0)</x:f>
        <x:v>1</x:v>
      </x:c>
      <x:c r="N347" t="n">
        <x:f>IF(M347=1,IF(G347&lt;=F347,1,0),0)</x:f>
        <x:v>0</x:v>
      </x:c>
      <x:c r="O347" t="n">
        <x:f>IF(AND(M347=1,K347="Sí",G347&gt;F347),1,0)</x:f>
        <x:v>0</x:v>
      </x:c>
      <x:c r="P347" t="n">
        <x:f>IF(AND(M347=1,I347&gt;0),1,0)</x:f>
        <x:v>0</x:v>
      </x:c>
      <x:c r="Q347" t="n">
        <x:f>IF(AND(B347&gt;=DATE(2026,7,1),B347&lt;=DATE(2026,9,30),G347&gt;=DATE(2026,10,1),G347&lt;=DATE(2026,10,7)),1,0)</x:f>
        <x:v>0</x:v>
      </x:c>
      <x:c r="R347" t="n">
        <x:f>IF(AND(B347&gt;=DATE(2026,7,1),B347&lt;=DATE(2026,9,30),G347&gt;DATE(2026,10,7)),1,0)</x:f>
        <x:v>0</x:v>
      </x:c>
      <x:c r="S347" t="n">
        <x:f>IF(AND(M347=1,J347&lt;&gt;"Ninguna"),1,0)</x:f>
        <x:v>0</x:v>
      </x:c>
    </x:row>
    <x:row r="348">
      <x:c r="A348" t="str">
        <x:v>PED-0347</x:v>
      </x:c>
      <x:c r="B348" s="12" t="n">
        <x:v>46287</x:v>
      </x:c>
      <x:c r="C348" t="str">
        <x:v>MecaParts</x:v>
      </x:c>
      <x:c r="D348" t="str">
        <x:v>Componentes mecánicos</x:v>
      </x:c>
      <x:c r="E348" s="10" t="n">
        <x:v>3333.62</x:v>
      </x:c>
      <x:c r="F348" s="12" t="n">
        <x:v>46298</x:v>
      </x:c>
      <x:c r="G348" s="12" t="n">
        <x:v>46299</x:v>
      </x:c>
      <x:c r="H348" t="n">
        <x:v>286</x:v>
      </x:c>
      <x:c r="I348" t="n">
        <x:v>0</x:v>
      </x:c>
      <x:c r="J348" t="str">
        <x:v>Daño transporte</x:v>
      </x:c>
      <x:c r="K348" t="str">
        <x:v>Sí</x:v>
      </x:c>
      <x:c r="L348" t="str">
        <x:v>Valencia</x:v>
      </x:c>
      <x:c r="M348" t="n">
        <x:f>IF(AND(B348&gt;=DATE(2026,7,1),B348&lt;=DATE(2026,9,30),G348&gt;=DATE(2026,7,1),G348&lt;=DATE(2026,9,30)),1,0)</x:f>
        <x:v>0</x:v>
      </x:c>
      <x:c r="N348" t="n">
        <x:f>IF(M348=1,IF(G348&lt;=F348,1,0),0)</x:f>
        <x:v>0</x:v>
      </x:c>
      <x:c r="O348" t="n">
        <x:f>IF(AND(M348=1,K348="Sí",G348&gt;F348),1,0)</x:f>
        <x:v>0</x:v>
      </x:c>
      <x:c r="P348" t="n">
        <x:f>IF(AND(M348=1,I348&gt;0),1,0)</x:f>
        <x:v>0</x:v>
      </x:c>
      <x:c r="Q348" t="n">
        <x:f>IF(AND(B348&gt;=DATE(2026,7,1),B348&lt;=DATE(2026,9,30),G348&gt;=DATE(2026,10,1),G348&lt;=DATE(2026,10,7)),1,0)</x:f>
        <x:v>1</x:v>
      </x:c>
      <x:c r="R348" t="n">
        <x:f>IF(AND(B348&gt;=DATE(2026,7,1),B348&lt;=DATE(2026,9,30),G348&gt;DATE(2026,10,7)),1,0)</x:f>
        <x:v>0</x:v>
      </x:c>
      <x:c r="S348" t="n">
        <x:f>IF(AND(M348=1,J348&lt;&gt;"Ninguna"),1,0)</x:f>
        <x:v>0</x:v>
      </x:c>
    </x:row>
    <x:row r="349">
      <x:c r="A349" t="str">
        <x:v>PED-0348</x:v>
      </x:c>
      <x:c r="B349" s="12" t="n">
        <x:v>46293</x:v>
      </x:c>
      <x:c r="C349" t="str">
        <x:v>MecaParts</x:v>
      </x:c>
      <x:c r="D349" t="str">
        <x:v>Componentes mecánicos</x:v>
      </x:c>
      <x:c r="E349" s="10" t="n">
        <x:v>6311.37</x:v>
      </x:c>
      <x:c r="F349" s="12" t="n">
        <x:v>46302</x:v>
      </x:c>
      <x:c r="G349" s="12" t="n">
        <x:v>46304</x:v>
      </x:c>
      <x:c r="H349" t="n">
        <x:v>165</x:v>
      </x:c>
      <x:c r="I349" t="n">
        <x:v>0</x:v>
      </x:c>
      <x:c r="J349" t="str">
        <x:v>Ninguna</x:v>
      </x:c>
      <x:c r="K349" t="str">
        <x:v>No</x:v>
      </x:c>
      <x:c r="L349" t="str">
        <x:v>Barcelona</x:v>
      </x:c>
      <x:c r="M349" t="n">
        <x:f>IF(AND(B349&gt;=DATE(2026,7,1),B349&lt;=DATE(2026,9,30),G349&gt;=DATE(2026,7,1),G349&lt;=DATE(2026,9,30)),1,0)</x:f>
        <x:v>0</x:v>
      </x:c>
      <x:c r="N349" t="n">
        <x:f>IF(M349=1,IF(G349&lt;=F349,1,0),0)</x:f>
        <x:v>0</x:v>
      </x:c>
      <x:c r="O349" t="n">
        <x:f>IF(AND(M349=1,K349="Sí",G349&gt;F349),1,0)</x:f>
        <x:v>0</x:v>
      </x:c>
      <x:c r="P349" t="n">
        <x:f>IF(AND(M349=1,I349&gt;0),1,0)</x:f>
        <x:v>0</x:v>
      </x:c>
      <x:c r="Q349" t="n">
        <x:f>IF(AND(B349&gt;=DATE(2026,7,1),B349&lt;=DATE(2026,9,30),G349&gt;=DATE(2026,10,1),G349&lt;=DATE(2026,10,7)),1,0)</x:f>
        <x:v>0</x:v>
      </x:c>
      <x:c r="R349" t="n">
        <x:f>IF(AND(B349&gt;=DATE(2026,7,1),B349&lt;=DATE(2026,9,30),G349&gt;DATE(2026,10,7)),1,0)</x:f>
        <x:v>1</x:v>
      </x:c>
      <x:c r="S349" t="n">
        <x:f>IF(AND(M349=1,J349&lt;&gt;"Ninguna"),1,0)</x:f>
        <x:v>0</x:v>
      </x:c>
    </x:row>
    <x:row r="350">
      <x:c r="A350" t="str">
        <x:v>PED-0349</x:v>
      </x:c>
      <x:c r="B350" s="12" t="n">
        <x:v>46260</x:v>
      </x:c>
      <x:c r="C350" t="str">
        <x:v>MetalNova</x:v>
      </x:c>
      <x:c r="D350" t="str">
        <x:v>Componentes mecánicos</x:v>
      </x:c>
      <x:c r="E350" s="10" t="n">
        <x:v>4013.19</x:v>
      </x:c>
      <x:c r="F350" s="12" t="n">
        <x:v>46270</x:v>
      </x:c>
      <x:c r="G350" s="12" t="n">
        <x:v>46271</x:v>
      </x:c>
      <x:c r="H350" t="n">
        <x:v>126</x:v>
      </x:c>
      <x:c r="I350" t="n">
        <x:v>0</x:v>
      </x:c>
      <x:c r="J350" t="str">
        <x:v>Daño transporte</x:v>
      </x:c>
      <x:c r="K350" t="str">
        <x:v>Sí</x:v>
      </x:c>
      <x:c r="L350" t="str">
        <x:v>Valencia</x:v>
      </x:c>
      <x:c r="M350" t="n">
        <x:f>IF(AND(B350&gt;=DATE(2026,7,1),B350&lt;=DATE(2026,9,30),G350&gt;=DATE(2026,7,1),G350&lt;=DATE(2026,9,30)),1,0)</x:f>
        <x:v>1</x:v>
      </x:c>
      <x:c r="N350" t="n">
        <x:f>IF(M350=1,IF(G350&lt;=F350,1,0),0)</x:f>
        <x:v>0</x:v>
      </x:c>
      <x:c r="O350" t="n">
        <x:f>IF(AND(M350=1,K350="Sí",G350&gt;F350),1,0)</x:f>
        <x:v>1</x:v>
      </x:c>
      <x:c r="P350" t="n">
        <x:f>IF(AND(M350=1,I350&gt;0),1,0)</x:f>
        <x:v>0</x:v>
      </x:c>
      <x:c r="Q350" t="n">
        <x:f>IF(AND(B350&gt;=DATE(2026,7,1),B350&lt;=DATE(2026,9,30),G350&gt;=DATE(2026,10,1),G350&lt;=DATE(2026,10,7)),1,0)</x:f>
        <x:v>0</x:v>
      </x:c>
      <x:c r="R350" t="n">
        <x:f>IF(AND(B350&gt;=DATE(2026,7,1),B350&lt;=DATE(2026,9,30),G350&gt;DATE(2026,10,7)),1,0)</x:f>
        <x:v>0</x:v>
      </x:c>
      <x:c r="S350" t="n">
        <x:f>IF(AND(M350=1,J350&lt;&gt;"Ninguna"),1,0)</x:f>
        <x:v>1</x:v>
      </x:c>
    </x:row>
    <x:row r="351">
      <x:c r="A351" t="str">
        <x:v>PED-0350</x:v>
      </x:c>
      <x:c r="B351" s="12" t="n">
        <x:v>46286</x:v>
      </x:c>
      <x:c r="C351" t="str">
        <x:v>PackPro</x:v>
      </x:c>
      <x:c r="D351" t="str">
        <x:v>Embalaje</x:v>
      </x:c>
      <x:c r="E351" s="10" t="n">
        <x:v>6471.31</x:v>
      </x:c>
      <x:c r="F351" s="12" t="n">
        <x:v>46293</x:v>
      </x:c>
      <x:c r="G351" s="12" t="n">
        <x:v>46294</x:v>
      </x:c>
      <x:c r="H351" t="n">
        <x:v>201</x:v>
      </x:c>
      <x:c r="I351" t="n">
        <x:v>0</x:v>
      </x:c>
      <x:c r="J351" t="str">
        <x:v>Ninguna</x:v>
      </x:c>
      <x:c r="K351" t="str">
        <x:v>No</x:v>
      </x:c>
      <x:c r="L351" t="str">
        <x:v>Zaragoza</x:v>
      </x:c>
      <x:c r="M351" t="n">
        <x:f>IF(AND(B351&gt;=DATE(2026,7,1),B351&lt;=DATE(2026,9,30),G351&gt;=DATE(2026,7,1),G351&lt;=DATE(2026,9,30)),1,0)</x:f>
        <x:v>1</x:v>
      </x:c>
      <x:c r="N351" t="n">
        <x:f>IF(M351=1,IF(G351&lt;=F351,1,0),0)</x:f>
        <x:v>0</x:v>
      </x:c>
      <x:c r="O351" t="n">
        <x:f>IF(AND(M351=1,K351="Sí",G351&gt;F351),1,0)</x:f>
        <x:v>0</x:v>
      </x:c>
      <x:c r="P351" t="n">
        <x:f>IF(AND(M351=1,I351&gt;0),1,0)</x:f>
        <x:v>0</x:v>
      </x:c>
      <x:c r="Q351" t="n">
        <x:f>IF(AND(B351&gt;=DATE(2026,7,1),B351&lt;=DATE(2026,9,30),G351&gt;=DATE(2026,10,1),G351&lt;=DATE(2026,10,7)),1,0)</x:f>
        <x:v>0</x:v>
      </x:c>
      <x:c r="R351" t="n">
        <x:f>IF(AND(B351&gt;=DATE(2026,7,1),B351&lt;=DATE(2026,9,30),G351&gt;DATE(2026,10,7)),1,0)</x:f>
        <x:v>0</x:v>
      </x:c>
      <x:c r="S351" t="n">
        <x:f>IF(AND(M351=1,J351&lt;&gt;"Ninguna"),1,0)</x:f>
        <x:v>0</x:v>
      </x:c>
    </x:row>
    <x:row r="352">
      <x:c r="A352" t="str">
        <x:v>PED-0351</x:v>
      </x:c>
      <x:c r="B352" s="12" t="n">
        <x:v>46228</x:v>
      </x:c>
      <x:c r="C352" t="str">
        <x:v>MetalNova</x:v>
      </x:c>
      <x:c r="D352" t="str">
        <x:v>Componentes mecánicos</x:v>
      </x:c>
      <x:c r="E352" s="10" t="n">
        <x:v>8104.84</x:v>
      </x:c>
      <x:c r="F352" s="12" t="n">
        <x:v>46239</x:v>
      </x:c>
      <x:c r="G352" s="12" t="n">
        <x:v>46237</x:v>
      </x:c>
      <x:c r="H352" t="n">
        <x:v>267</x:v>
      </x:c>
      <x:c r="I352" t="n">
        <x:v>0</x:v>
      </x:c>
      <x:c r="J352" t="str">
        <x:v>Ninguna</x:v>
      </x:c>
      <x:c r="K352" t="str">
        <x:v>No</x:v>
      </x:c>
      <x:c r="L352" t="str">
        <x:v>Zaragoza</x:v>
      </x:c>
      <x:c r="M352" t="n">
        <x:f>IF(AND(B352&gt;=DATE(2026,7,1),B352&lt;=DATE(2026,9,30),G352&gt;=DATE(2026,7,1),G352&lt;=DATE(2026,9,30)),1,0)</x:f>
        <x:v>1</x:v>
      </x:c>
      <x:c r="N352" t="n">
        <x:f>IF(M352=1,IF(G352&lt;=F352,1,0),0)</x:f>
        <x:v>1</x:v>
      </x:c>
      <x:c r="O352" t="n">
        <x:f>IF(AND(M352=1,K352="Sí",G352&gt;F352),1,0)</x:f>
        <x:v>0</x:v>
      </x:c>
      <x:c r="P352" t="n">
        <x:f>IF(AND(M352=1,I352&gt;0),1,0)</x:f>
        <x:v>0</x:v>
      </x:c>
      <x:c r="Q352" t="n">
        <x:f>IF(AND(B352&gt;=DATE(2026,7,1),B352&lt;=DATE(2026,9,30),G352&gt;=DATE(2026,10,1),G352&lt;=DATE(2026,10,7)),1,0)</x:f>
        <x:v>0</x:v>
      </x:c>
      <x:c r="R352" t="n">
        <x:f>IF(AND(B352&gt;=DATE(2026,7,1),B352&lt;=DATE(2026,9,30),G352&gt;DATE(2026,10,7)),1,0)</x:f>
        <x:v>0</x:v>
      </x:c>
      <x:c r="S352" t="n">
        <x:f>IF(AND(M352=1,J352&lt;&gt;"Ninguna"),1,0)</x:f>
        <x:v>0</x:v>
      </x:c>
    </x:row>
    <x:row r="353">
      <x:c r="A353" t="str">
        <x:v>PED-0352</x:v>
      </x:c>
      <x:c r="B353" s="12" t="n">
        <x:v>46209</x:v>
      </x:c>
      <x:c r="C353" t="str">
        <x:v>MecaParts</x:v>
      </x:c>
      <x:c r="D353" t="str">
        <x:v>Componentes mecánicos</x:v>
      </x:c>
      <x:c r="E353" s="10" t="n">
        <x:v>2234.31</x:v>
      </x:c>
      <x:c r="F353" s="12" t="n">
        <x:v>46219</x:v>
      </x:c>
      <x:c r="G353" s="12" t="n">
        <x:v>46225</x:v>
      </x:c>
      <x:c r="H353" t="n">
        <x:v>78</x:v>
      </x:c>
      <x:c r="I353" t="n">
        <x:v>0</x:v>
      </x:c>
      <x:c r="J353" t="str">
        <x:v>Retraso</x:v>
      </x:c>
      <x:c r="K353" t="str">
        <x:v>No</x:v>
      </x:c>
      <x:c r="L353" t="str">
        <x:v>Zaragoza</x:v>
      </x:c>
      <x:c r="M353" t="n">
        <x:f>IF(AND(B353&gt;=DATE(2026,7,1),B353&lt;=DATE(2026,9,30),G353&gt;=DATE(2026,7,1),G353&lt;=DATE(2026,9,30)),1,0)</x:f>
        <x:v>1</x:v>
      </x:c>
      <x:c r="N353" t="n">
        <x:f>IF(M353=1,IF(G353&lt;=F353,1,0),0)</x:f>
        <x:v>0</x:v>
      </x:c>
      <x:c r="O353" t="n">
        <x:f>IF(AND(M353=1,K353="Sí",G353&gt;F353),1,0)</x:f>
        <x:v>0</x:v>
      </x:c>
      <x:c r="P353" t="n">
        <x:f>IF(AND(M353=1,I353&gt;0),1,0)</x:f>
        <x:v>0</x:v>
      </x:c>
      <x:c r="Q353" t="n">
        <x:f>IF(AND(B353&gt;=DATE(2026,7,1),B353&lt;=DATE(2026,9,30),G353&gt;=DATE(2026,10,1),G353&lt;=DATE(2026,10,7)),1,0)</x:f>
        <x:v>0</x:v>
      </x:c>
      <x:c r="R353" t="n">
        <x:f>IF(AND(B353&gt;=DATE(2026,7,1),B353&lt;=DATE(2026,9,30),G353&gt;DATE(2026,10,7)),1,0)</x:f>
        <x:v>0</x:v>
      </x:c>
      <x:c r="S353" t="n">
        <x:f>IF(AND(M353=1,J353&lt;&gt;"Ninguna"),1,0)</x:f>
        <x:v>1</x:v>
      </x:c>
    </x:row>
    <x:row r="354">
      <x:c r="A354" t="str">
        <x:v>PED-0353</x:v>
      </x:c>
      <x:c r="B354" s="12" t="n">
        <x:v>46270</x:v>
      </x:c>
      <x:c r="C354" t="str">
        <x:v>PackPro</x:v>
      </x:c>
      <x:c r="D354" t="str">
        <x:v>Embalaje</x:v>
      </x:c>
      <x:c r="E354" s="10" t="n">
        <x:v>2162.86</x:v>
      </x:c>
      <x:c r="F354" s="12" t="n">
        <x:v>46277</x:v>
      </x:c>
      <x:c r="G354" s="12" t="n">
        <x:v>46280</x:v>
      </x:c>
      <x:c r="H354" t="n">
        <x:v>258</x:v>
      </x:c>
      <x:c r="I354" t="n">
        <x:v>0</x:v>
      </x:c>
      <x:c r="J354" t="str">
        <x:v>Ninguna</x:v>
      </x:c>
      <x:c r="K354" t="str">
        <x:v>Sí</x:v>
      </x:c>
      <x:c r="L354" t="str">
        <x:v>Barcelona</x:v>
      </x:c>
      <x:c r="M354" t="n">
        <x:f>IF(AND(B354&gt;=DATE(2026,7,1),B354&lt;=DATE(2026,9,30),G354&gt;=DATE(2026,7,1),G354&lt;=DATE(2026,9,30)),1,0)</x:f>
        <x:v>1</x:v>
      </x:c>
      <x:c r="N354" t="n">
        <x:f>IF(M354=1,IF(G354&lt;=F354,1,0),0)</x:f>
        <x:v>0</x:v>
      </x:c>
      <x:c r="O354" t="n">
        <x:f>IF(AND(M354=1,K354="Sí",G354&gt;F354),1,0)</x:f>
        <x:v>1</x:v>
      </x:c>
      <x:c r="P354" t="n">
        <x:f>IF(AND(M354=1,I354&gt;0),1,0)</x:f>
        <x:v>0</x:v>
      </x:c>
      <x:c r="Q354" t="n">
        <x:f>IF(AND(B354&gt;=DATE(2026,7,1),B354&lt;=DATE(2026,9,30),G354&gt;=DATE(2026,10,1),G354&lt;=DATE(2026,10,7)),1,0)</x:f>
        <x:v>0</x:v>
      </x:c>
      <x:c r="R354" t="n">
        <x:f>IF(AND(B354&gt;=DATE(2026,7,1),B354&lt;=DATE(2026,9,30),G354&gt;DATE(2026,10,7)),1,0)</x:f>
        <x:v>0</x:v>
      </x:c>
      <x:c r="S354" t="n">
        <x:f>IF(AND(M354=1,J354&lt;&gt;"Ninguna"),1,0)</x:f>
        <x:v>0</x:v>
      </x:c>
    </x:row>
    <x:row r="355">
      <x:c r="A355" t="str">
        <x:v>PED-0354</x:v>
      </x:c>
      <x:c r="B355" s="12" t="n">
        <x:v>46219</x:v>
      </x:c>
      <x:c r="C355" t="str">
        <x:v>OfiPlus</x:v>
      </x:c>
      <x:c r="D355" t="str">
        <x:v>Consumibles</x:v>
      </x:c>
      <x:c r="E355" s="10" t="n">
        <x:v>4036.77</x:v>
      </x:c>
      <x:c r="F355" s="12" t="n">
        <x:v>46225</x:v>
      </x:c>
      <x:c r="G355" s="12" t="n">
        <x:v>46227</x:v>
      </x:c>
      <x:c r="H355" t="n">
        <x:v>320</x:v>
      </x:c>
      <x:c r="I355" t="n">
        <x:v>0</x:v>
      </x:c>
      <x:c r="J355" t="str">
        <x:v>Ninguna</x:v>
      </x:c>
      <x:c r="K355" t="str">
        <x:v>No</x:v>
      </x:c>
      <x:c r="L355" t="str">
        <x:v>Valencia</x:v>
      </x:c>
      <x:c r="M355" t="n">
        <x:f>IF(AND(B355&gt;=DATE(2026,7,1),B355&lt;=DATE(2026,9,30),G355&gt;=DATE(2026,7,1),G355&lt;=DATE(2026,9,30)),1,0)</x:f>
        <x:v>1</x:v>
      </x:c>
      <x:c r="N355" t="n">
        <x:f>IF(M355=1,IF(G355&lt;=F355,1,0),0)</x:f>
        <x:v>0</x:v>
      </x:c>
      <x:c r="O355" t="n">
        <x:f>IF(AND(M355=1,K355="Sí",G355&gt;F355),1,0)</x:f>
        <x:v>0</x:v>
      </x:c>
      <x:c r="P355" t="n">
        <x:f>IF(AND(M355=1,I355&gt;0),1,0)</x:f>
        <x:v>0</x:v>
      </x:c>
      <x:c r="Q355" t="n">
        <x:f>IF(AND(B355&gt;=DATE(2026,7,1),B355&lt;=DATE(2026,9,30),G355&gt;=DATE(2026,10,1),G355&lt;=DATE(2026,10,7)),1,0)</x:f>
        <x:v>0</x:v>
      </x:c>
      <x:c r="R355" t="n">
        <x:f>IF(AND(B355&gt;=DATE(2026,7,1),B355&lt;=DATE(2026,9,30),G355&gt;DATE(2026,10,7)),1,0)</x:f>
        <x:v>0</x:v>
      </x:c>
      <x:c r="S355" t="n">
        <x:f>IF(AND(M355=1,J355&lt;&gt;"Ninguna"),1,0)</x:f>
        <x:v>0</x:v>
      </x:c>
    </x:row>
    <x:row r="356">
      <x:c r="A356" t="str">
        <x:v>PED-0355</x:v>
      </x:c>
      <x:c r="B356" s="12" t="n">
        <x:v>46246</x:v>
      </x:c>
      <x:c r="C356" t="str">
        <x:v>MecaParts</x:v>
      </x:c>
      <x:c r="D356" t="str">
        <x:v>Componentes mecánicos</x:v>
      </x:c>
      <x:c r="E356" s="10" t="n">
        <x:v>14814.39</x:v>
      </x:c>
      <x:c r="F356" s="12" t="n">
        <x:v>46255</x:v>
      </x:c>
      <x:c r="G356" s="12" t="n">
        <x:v>46257</x:v>
      </x:c>
      <x:c r="H356" t="n">
        <x:v>331</x:v>
      </x:c>
      <x:c r="I356" t="n">
        <x:v>0</x:v>
      </x:c>
      <x:c r="J356" t="str">
        <x:v>Ninguna</x:v>
      </x:c>
      <x:c r="K356" t="str">
        <x:v>No</x:v>
      </x:c>
      <x:c r="L356" t="str">
        <x:v>Zaragoza</x:v>
      </x:c>
      <x:c r="M356" t="n">
        <x:f>IF(AND(B356&gt;=DATE(2026,7,1),B356&lt;=DATE(2026,9,30),G356&gt;=DATE(2026,7,1),G356&lt;=DATE(2026,9,30)),1,0)</x:f>
        <x:v>1</x:v>
      </x:c>
      <x:c r="N356" t="n">
        <x:f>IF(M356=1,IF(G356&lt;=F356,1,0),0)</x:f>
        <x:v>0</x:v>
      </x:c>
      <x:c r="O356" t="n">
        <x:f>IF(AND(M356=1,K356="Sí",G356&gt;F356),1,0)</x:f>
        <x:v>0</x:v>
      </x:c>
      <x:c r="P356" t="n">
        <x:f>IF(AND(M356=1,I356&gt;0),1,0)</x:f>
        <x:v>0</x:v>
      </x:c>
      <x:c r="Q356" t="n">
        <x:f>IF(AND(B356&gt;=DATE(2026,7,1),B356&lt;=DATE(2026,9,30),G356&gt;=DATE(2026,10,1),G356&lt;=DATE(2026,10,7)),1,0)</x:f>
        <x:v>0</x:v>
      </x:c>
      <x:c r="R356" t="n">
        <x:f>IF(AND(B356&gt;=DATE(2026,7,1),B356&lt;=DATE(2026,9,30),G356&gt;DATE(2026,10,7)),1,0)</x:f>
        <x:v>0</x:v>
      </x:c>
      <x:c r="S356" t="n">
        <x:f>IF(AND(M356=1,J356&lt;&gt;"Ninguna"),1,0)</x:f>
        <x:v>0</x:v>
      </x:c>
    </x:row>
    <x:row r="357">
      <x:c r="A357" t="str">
        <x:v>PED-0356</x:v>
      </x:c>
      <x:c r="B357" s="12" t="n">
        <x:v>46281</x:v>
      </x:c>
      <x:c r="C357" t="str">
        <x:v>ElectraSupply</x:v>
      </x:c>
      <x:c r="D357" t="str">
        <x:v>Componentes eléctricos</x:v>
      </x:c>
      <x:c r="E357" s="10" t="n">
        <x:v>5863.76</x:v>
      </x:c>
      <x:c r="F357" s="12" t="n">
        <x:v>46293</x:v>
      </x:c>
      <x:c r="G357" s="12" t="n">
        <x:v>46298</x:v>
      </x:c>
      <x:c r="H357" t="n">
        <x:v>293</x:v>
      </x:c>
      <x:c r="I357" t="n">
        <x:v>0</x:v>
      </x:c>
      <x:c r="J357" t="str">
        <x:v>Ninguna</x:v>
      </x:c>
      <x:c r="K357" t="str">
        <x:v>No</x:v>
      </x:c>
      <x:c r="L357" t="str">
        <x:v>Barcelona</x:v>
      </x:c>
      <x:c r="M357" t="n">
        <x:f>IF(AND(B357&gt;=DATE(2026,7,1),B357&lt;=DATE(2026,9,30),G357&gt;=DATE(2026,7,1),G357&lt;=DATE(2026,9,30)),1,0)</x:f>
        <x:v>0</x:v>
      </x:c>
      <x:c r="N357" t="n">
        <x:f>IF(M357=1,IF(G357&lt;=F357,1,0),0)</x:f>
        <x:v>0</x:v>
      </x:c>
      <x:c r="O357" t="n">
        <x:f>IF(AND(M357=1,K357="Sí",G357&gt;F357),1,0)</x:f>
        <x:v>0</x:v>
      </x:c>
      <x:c r="P357" t="n">
        <x:f>IF(AND(M357=1,I357&gt;0),1,0)</x:f>
        <x:v>0</x:v>
      </x:c>
      <x:c r="Q357" t="n">
        <x:f>IF(AND(B357&gt;=DATE(2026,7,1),B357&lt;=DATE(2026,9,30),G357&gt;=DATE(2026,10,1),G357&lt;=DATE(2026,10,7)),1,0)</x:f>
        <x:v>1</x:v>
      </x:c>
      <x:c r="R357" t="n">
        <x:f>IF(AND(B357&gt;=DATE(2026,7,1),B357&lt;=DATE(2026,9,30),G357&gt;DATE(2026,10,7)),1,0)</x:f>
        <x:v>0</x:v>
      </x:c>
      <x:c r="S357" t="n">
        <x:f>IF(AND(M357=1,J357&lt;&gt;"Ninguna"),1,0)</x:f>
        <x:v>0</x:v>
      </x:c>
    </x:row>
    <x:row r="358">
      <x:c r="A358" t="str">
        <x:v>PED-0357</x:v>
      </x:c>
      <x:c r="B358" s="12" t="n">
        <x:v>46254</x:v>
      </x:c>
      <x:c r="C358" t="str">
        <x:v>ElectraSupply</x:v>
      </x:c>
      <x:c r="D358" t="str">
        <x:v>Componentes eléctricos</x:v>
      </x:c>
      <x:c r="E358" s="10" t="n">
        <x:v>14513.09</x:v>
      </x:c>
      <x:c r="F358" s="12" t="n">
        <x:v>46266</x:v>
      </x:c>
      <x:c r="G358" s="12" t="n">
        <x:v>46272</x:v>
      </x:c>
      <x:c r="H358" t="n">
        <x:v>283</x:v>
      </x:c>
      <x:c r="I358" t="n">
        <x:v>41</x:v>
      </x:c>
      <x:c r="J358" t="str">
        <x:v>Calidad</x:v>
      </x:c>
      <x:c r="K358" t="str">
        <x:v>No</x:v>
      </x:c>
      <x:c r="L358" t="str">
        <x:v>Barcelona</x:v>
      </x:c>
      <x:c r="M358" t="n">
        <x:f>IF(AND(B358&gt;=DATE(2026,7,1),B358&lt;=DATE(2026,9,30),G358&gt;=DATE(2026,7,1),G358&lt;=DATE(2026,9,30)),1,0)</x:f>
        <x:v>1</x:v>
      </x:c>
      <x:c r="N358" t="n">
        <x:f>IF(M358=1,IF(G358&lt;=F358,1,0),0)</x:f>
        <x:v>0</x:v>
      </x:c>
      <x:c r="O358" t="n">
        <x:f>IF(AND(M358=1,K358="Sí",G358&gt;F358),1,0)</x:f>
        <x:v>0</x:v>
      </x:c>
      <x:c r="P358" t="n">
        <x:f>IF(AND(M358=1,I358&gt;0),1,0)</x:f>
        <x:v>1</x:v>
      </x:c>
      <x:c r="Q358" t="n">
        <x:f>IF(AND(B358&gt;=DATE(2026,7,1),B358&lt;=DATE(2026,9,30),G358&gt;=DATE(2026,10,1),G358&lt;=DATE(2026,10,7)),1,0)</x:f>
        <x:v>0</x:v>
      </x:c>
      <x:c r="R358" t="n">
        <x:f>IF(AND(B358&gt;=DATE(2026,7,1),B358&lt;=DATE(2026,9,30),G358&gt;DATE(2026,10,7)),1,0)</x:f>
        <x:v>0</x:v>
      </x:c>
      <x:c r="S358" t="n">
        <x:f>IF(AND(M358=1,J358&lt;&gt;"Ninguna"),1,0)</x:f>
        <x:v>1</x:v>
      </x:c>
    </x:row>
    <x:row r="359">
      <x:c r="A359" t="str">
        <x:v>PED-0358</x:v>
      </x:c>
      <x:c r="B359" s="12" t="n">
        <x:v>46229</x:v>
      </x:c>
      <x:c r="C359" t="str">
        <x:v>PackPro</x:v>
      </x:c>
      <x:c r="D359" t="str">
        <x:v>Embalaje</x:v>
      </x:c>
      <x:c r="E359" s="10" t="n">
        <x:v>6024.71</x:v>
      </x:c>
      <x:c r="F359" s="12" t="n">
        <x:v>46237</x:v>
      </x:c>
      <x:c r="G359" s="12" t="n">
        <x:v>46235</x:v>
      </x:c>
      <x:c r="H359" t="n">
        <x:v>248</x:v>
      </x:c>
      <x:c r="I359" t="n">
        <x:v>0</x:v>
      </x:c>
      <x:c r="J359" t="str">
        <x:v>Ninguna</x:v>
      </x:c>
      <x:c r="K359" t="str">
        <x:v>No</x:v>
      </x:c>
      <x:c r="L359" t="str">
        <x:v>Barcelona</x:v>
      </x:c>
      <x:c r="M359" t="n">
        <x:f>IF(AND(B359&gt;=DATE(2026,7,1),B359&lt;=DATE(2026,9,30),G359&gt;=DATE(2026,7,1),G359&lt;=DATE(2026,9,30)),1,0)</x:f>
        <x:v>1</x:v>
      </x:c>
      <x:c r="N359" t="n">
        <x:f>IF(M359=1,IF(G359&lt;=F359,1,0),0)</x:f>
        <x:v>1</x:v>
      </x:c>
      <x:c r="O359" t="n">
        <x:f>IF(AND(M359=1,K359="Sí",G359&gt;F359),1,0)</x:f>
        <x:v>0</x:v>
      </x:c>
      <x:c r="P359" t="n">
        <x:f>IF(AND(M359=1,I359&gt;0),1,0)</x:f>
        <x:v>0</x:v>
      </x:c>
      <x:c r="Q359" t="n">
        <x:f>IF(AND(B359&gt;=DATE(2026,7,1),B359&lt;=DATE(2026,9,30),G359&gt;=DATE(2026,10,1),G359&lt;=DATE(2026,10,7)),1,0)</x:f>
        <x:v>0</x:v>
      </x:c>
      <x:c r="R359" t="n">
        <x:f>IF(AND(B359&gt;=DATE(2026,7,1),B359&lt;=DATE(2026,9,30),G359&gt;DATE(2026,10,7)),1,0)</x:f>
        <x:v>0</x:v>
      </x:c>
      <x:c r="S359" t="n">
        <x:f>IF(AND(M359=1,J359&lt;&gt;"Ninguna"),1,0)</x:f>
        <x:v>0</x:v>
      </x:c>
    </x:row>
    <x:row r="360">
      <x:c r="A360" t="str">
        <x:v>PED-0359</x:v>
      </x:c>
      <x:c r="B360" s="12" t="n">
        <x:v>46273</x:v>
      </x:c>
      <x:c r="C360" t="str">
        <x:v>PackPro</x:v>
      </x:c>
      <x:c r="D360" t="str">
        <x:v>Embalaje</x:v>
      </x:c>
      <x:c r="E360" s="10" t="n">
        <x:v>8014.35</x:v>
      </x:c>
      <x:c r="F360" s="12" t="n">
        <x:v>46278</x:v>
      </x:c>
      <x:c r="G360" s="12" t="n">
        <x:v>46286</x:v>
      </x:c>
      <x:c r="H360" t="n">
        <x:v>355</x:v>
      </x:c>
      <x:c r="I360" t="n">
        <x:v>0</x:v>
      </x:c>
      <x:c r="J360" t="str">
        <x:v>Retraso</x:v>
      </x:c>
      <x:c r="K360" t="str">
        <x:v>No</x:v>
      </x:c>
      <x:c r="L360" t="str">
        <x:v>Zaragoza</x:v>
      </x:c>
      <x:c r="M360" t="n">
        <x:f>IF(AND(B360&gt;=DATE(2026,7,1),B360&lt;=DATE(2026,9,30),G360&gt;=DATE(2026,7,1),G360&lt;=DATE(2026,9,30)),1,0)</x:f>
        <x:v>1</x:v>
      </x:c>
      <x:c r="N360" t="n">
        <x:f>IF(M360=1,IF(G360&lt;=F360,1,0),0)</x:f>
        <x:v>0</x:v>
      </x:c>
      <x:c r="O360" t="n">
        <x:f>IF(AND(M360=1,K360="Sí",G360&gt;F360),1,0)</x:f>
        <x:v>0</x:v>
      </x:c>
      <x:c r="P360" t="n">
        <x:f>IF(AND(M360=1,I360&gt;0),1,0)</x:f>
        <x:v>0</x:v>
      </x:c>
      <x:c r="Q360" t="n">
        <x:f>IF(AND(B360&gt;=DATE(2026,7,1),B360&lt;=DATE(2026,9,30),G360&gt;=DATE(2026,10,1),G360&lt;=DATE(2026,10,7)),1,0)</x:f>
        <x:v>0</x:v>
      </x:c>
      <x:c r="R360" t="n">
        <x:f>IF(AND(B360&gt;=DATE(2026,7,1),B360&lt;=DATE(2026,9,30),G360&gt;DATE(2026,10,7)),1,0)</x:f>
        <x:v>0</x:v>
      </x:c>
      <x:c r="S360" t="n">
        <x:f>IF(AND(M360=1,J360&lt;&gt;"Ninguna"),1,0)</x:f>
        <x:v>1</x:v>
      </x:c>
    </x:row>
    <x:row r="361">
      <x:c r="A361" t="str">
        <x:v>PED-0360</x:v>
      </x:c>
      <x:c r="B361" s="12" t="n">
        <x:v>46275</x:v>
      </x:c>
      <x:c r="C361" t="str">
        <x:v>ElectraSupply</x:v>
      </x:c>
      <x:c r="D361" t="str">
        <x:v>Componentes eléctricos</x:v>
      </x:c>
      <x:c r="E361" s="10" t="n">
        <x:v>4608.45</x:v>
      </x:c>
      <x:c r="F361" s="12" t="n">
        <x:v>46288</x:v>
      </x:c>
      <x:c r="G361" s="12" t="n">
        <x:v>46290</x:v>
      </x:c>
      <x:c r="H361" t="n">
        <x:v>352</x:v>
      </x:c>
      <x:c r="I361" t="n">
        <x:v>0</x:v>
      </x:c>
      <x:c r="J361" t="str">
        <x:v>Ninguna</x:v>
      </x:c>
      <x:c r="K361" t="str">
        <x:v>No</x:v>
      </x:c>
      <x:c r="L361" t="str">
        <x:v>Zaragoza</x:v>
      </x:c>
      <x:c r="M361" t="n">
        <x:f>IF(AND(B361&gt;=DATE(2026,7,1),B361&lt;=DATE(2026,9,30),G361&gt;=DATE(2026,7,1),G361&lt;=DATE(2026,9,30)),1,0)</x:f>
        <x:v>1</x:v>
      </x:c>
      <x:c r="N361" t="n">
        <x:f>IF(M361=1,IF(G361&lt;=F361,1,0),0)</x:f>
        <x:v>0</x:v>
      </x:c>
      <x:c r="O361" t="n">
        <x:f>IF(AND(M361=1,K361="Sí",G361&gt;F361),1,0)</x:f>
        <x:v>0</x:v>
      </x:c>
      <x:c r="P361" t="n">
        <x:f>IF(AND(M361=1,I361&gt;0),1,0)</x:f>
        <x:v>0</x:v>
      </x:c>
      <x:c r="Q361" t="n">
        <x:f>IF(AND(B361&gt;=DATE(2026,7,1),B361&lt;=DATE(2026,9,30),G361&gt;=DATE(2026,10,1),G361&lt;=DATE(2026,10,7)),1,0)</x:f>
        <x:v>0</x:v>
      </x:c>
      <x:c r="R361" t="n">
        <x:f>IF(AND(B361&gt;=DATE(2026,7,1),B361&lt;=DATE(2026,9,30),G361&gt;DATE(2026,10,7)),1,0)</x:f>
        <x:v>0</x:v>
      </x:c>
      <x:c r="S361" t="n">
        <x:f>IF(AND(M361=1,J361&lt;&gt;"Ninguna"),1,0)</x:f>
        <x:v>0</x:v>
      </x:c>
    </x:row>
    <x:row r="362">
      <x:c r="A362" t="str">
        <x:v>PED-0361</x:v>
      </x:c>
      <x:c r="B362" s="12" t="n">
        <x:v>46225</x:v>
      </x:c>
      <x:c r="C362" t="str">
        <x:v>PackPro</x:v>
      </x:c>
      <x:c r="D362" t="str">
        <x:v>Embalaje</x:v>
      </x:c>
      <x:c r="E362" s="10" t="n">
        <x:v>1647.13</x:v>
      </x:c>
      <x:c r="F362" s="12" t="n">
        <x:v>46230</x:v>
      </x:c>
      <x:c r="G362" s="12" t="n">
        <x:v>46232</x:v>
      </x:c>
      <x:c r="H362" t="n">
        <x:v>256</x:v>
      </x:c>
      <x:c r="I362" t="n">
        <x:v>0</x:v>
      </x:c>
      <x:c r="J362" t="str">
        <x:v>Documentación</x:v>
      </x:c>
      <x:c r="K362" t="str">
        <x:v>No</x:v>
      </x:c>
      <x:c r="L362" t="str">
        <x:v>Valencia</x:v>
      </x:c>
      <x:c r="M362" t="n">
        <x:f>IF(AND(B362&gt;=DATE(2026,7,1),B362&lt;=DATE(2026,9,30),G362&gt;=DATE(2026,7,1),G362&lt;=DATE(2026,9,30)),1,0)</x:f>
        <x:v>1</x:v>
      </x:c>
      <x:c r="N362" t="n">
        <x:f>IF(M362=1,IF(G362&lt;=F362,1,0),0)</x:f>
        <x:v>0</x:v>
      </x:c>
      <x:c r="O362" t="n">
        <x:f>IF(AND(M362=1,K362="Sí",G362&gt;F362),1,0)</x:f>
        <x:v>0</x:v>
      </x:c>
      <x:c r="P362" t="n">
        <x:f>IF(AND(M362=1,I362&gt;0),1,0)</x:f>
        <x:v>0</x:v>
      </x:c>
      <x:c r="Q362" t="n">
        <x:f>IF(AND(B362&gt;=DATE(2026,7,1),B362&lt;=DATE(2026,9,30),G362&gt;=DATE(2026,10,1),G362&lt;=DATE(2026,10,7)),1,0)</x:f>
        <x:v>0</x:v>
      </x:c>
      <x:c r="R362" t="n">
        <x:f>IF(AND(B362&gt;=DATE(2026,7,1),B362&lt;=DATE(2026,9,30),G362&gt;DATE(2026,10,7)),1,0)</x:f>
        <x:v>0</x:v>
      </x:c>
      <x:c r="S362" t="n">
        <x:f>IF(AND(M362=1,J362&lt;&gt;"Ninguna"),1,0)</x:f>
        <x:v>1</x:v>
      </x:c>
    </x:row>
    <x:row r="363">
      <x:c r="A363" t="str">
        <x:v>PED-0362</x:v>
      </x:c>
      <x:c r="B363" s="12" t="n">
        <x:v>46246</x:v>
      </x:c>
      <x:c r="C363" t="str">
        <x:v>MecaParts</x:v>
      </x:c>
      <x:c r="D363" t="str">
        <x:v>Componentes mecánicos</x:v>
      </x:c>
      <x:c r="E363" s="10" t="n">
        <x:v>4626.61</x:v>
      </x:c>
      <x:c r="F363" s="12" t="n">
        <x:v>46254</x:v>
      </x:c>
      <x:c r="G363" s="12" t="n">
        <x:v>46253</x:v>
      </x:c>
      <x:c r="H363" t="n">
        <x:v>260</x:v>
      </x:c>
      <x:c r="I363" t="n">
        <x:v>0</x:v>
      </x:c>
      <x:c r="J363" t="str">
        <x:v>Ninguna</x:v>
      </x:c>
      <x:c r="K363" t="str">
        <x:v>No</x:v>
      </x:c>
      <x:c r="L363" t="str">
        <x:v>Valencia</x:v>
      </x:c>
      <x:c r="M363" t="n">
        <x:f>IF(AND(B363&gt;=DATE(2026,7,1),B363&lt;=DATE(2026,9,30),G363&gt;=DATE(2026,7,1),G363&lt;=DATE(2026,9,30)),1,0)</x:f>
        <x:v>1</x:v>
      </x:c>
      <x:c r="N363" t="n">
        <x:f>IF(M363=1,IF(G363&lt;=F363,1,0),0)</x:f>
        <x:v>1</x:v>
      </x:c>
      <x:c r="O363" t="n">
        <x:f>IF(AND(M363=1,K363="Sí",G363&gt;F363),1,0)</x:f>
        <x:v>0</x:v>
      </x:c>
      <x:c r="P363" t="n">
        <x:f>IF(AND(M363=1,I363&gt;0),1,0)</x:f>
        <x:v>0</x:v>
      </x:c>
      <x:c r="Q363" t="n">
        <x:f>IF(AND(B363&gt;=DATE(2026,7,1),B363&lt;=DATE(2026,9,30),G363&gt;=DATE(2026,10,1),G363&lt;=DATE(2026,10,7)),1,0)</x:f>
        <x:v>0</x:v>
      </x:c>
      <x:c r="R363" t="n">
        <x:f>IF(AND(B363&gt;=DATE(2026,7,1),B363&lt;=DATE(2026,9,30),G363&gt;DATE(2026,10,7)),1,0)</x:f>
        <x:v>0</x:v>
      </x:c>
      <x:c r="S363" t="n">
        <x:f>IF(AND(M363=1,J363&lt;&gt;"Ninguna"),1,0)</x:f>
        <x:v>0</x:v>
      </x:c>
    </x:row>
    <x:row r="364">
      <x:c r="A364" t="str">
        <x:v>PED-0363</x:v>
      </x:c>
      <x:c r="B364" s="12" t="n">
        <x:v>46233</x:v>
      </x:c>
      <x:c r="C364" t="str">
        <x:v>MetalNova</x:v>
      </x:c>
      <x:c r="D364" t="str">
        <x:v>Materia prima</x:v>
      </x:c>
      <x:c r="E364" s="10" t="n">
        <x:v>1699.64</x:v>
      </x:c>
      <x:c r="F364" s="12" t="n">
        <x:v>46244</x:v>
      </x:c>
      <x:c r="G364" s="12" t="n">
        <x:v>46247</x:v>
      </x:c>
      <x:c r="H364" t="n">
        <x:v>322</x:v>
      </x:c>
      <x:c r="I364" t="n">
        <x:v>0</x:v>
      </x:c>
      <x:c r="J364" t="str">
        <x:v>Ninguna</x:v>
      </x:c>
      <x:c r="K364" t="str">
        <x:v>No</x:v>
      </x:c>
      <x:c r="L364" t="str">
        <x:v>Valencia</x:v>
      </x:c>
      <x:c r="M364" t="n">
        <x:f>IF(AND(B364&gt;=DATE(2026,7,1),B364&lt;=DATE(2026,9,30),G364&gt;=DATE(2026,7,1),G364&lt;=DATE(2026,9,30)),1,0)</x:f>
        <x:v>1</x:v>
      </x:c>
      <x:c r="N364" t="n">
        <x:f>IF(M364=1,IF(G364&lt;=F364,1,0),0)</x:f>
        <x:v>0</x:v>
      </x:c>
      <x:c r="O364" t="n">
        <x:f>IF(AND(M364=1,K364="Sí",G364&gt;F364),1,0)</x:f>
        <x:v>0</x:v>
      </x:c>
      <x:c r="P364" t="n">
        <x:f>IF(AND(M364=1,I364&gt;0),1,0)</x:f>
        <x:v>0</x:v>
      </x:c>
      <x:c r="Q364" t="n">
        <x:f>IF(AND(B364&gt;=DATE(2026,7,1),B364&lt;=DATE(2026,9,30),G364&gt;=DATE(2026,10,1),G364&lt;=DATE(2026,10,7)),1,0)</x:f>
        <x:v>0</x:v>
      </x:c>
      <x:c r="R364" t="n">
        <x:f>IF(AND(B364&gt;=DATE(2026,7,1),B364&lt;=DATE(2026,9,30),G364&gt;DATE(2026,10,7)),1,0)</x:f>
        <x:v>0</x:v>
      </x:c>
      <x:c r="S364" t="n">
        <x:f>IF(AND(M364=1,J364&lt;&gt;"Ninguna"),1,0)</x:f>
        <x:v>0</x:v>
      </x:c>
    </x:row>
    <x:row r="365">
      <x:c r="A365" t="str">
        <x:v>PED-0364</x:v>
      </x:c>
      <x:c r="B365" s="12" t="n">
        <x:v>46270</x:v>
      </x:c>
      <x:c r="C365" t="str">
        <x:v>ElectraSupply</x:v>
      </x:c>
      <x:c r="D365" t="str">
        <x:v>Componentes eléctricos</x:v>
      </x:c>
      <x:c r="E365" s="10" t="n">
        <x:v>1349.55</x:v>
      </x:c>
      <x:c r="F365" s="12" t="n">
        <x:v>46281</x:v>
      </x:c>
      <x:c r="G365" s="12" t="n">
        <x:v>46284</x:v>
      </x:c>
      <x:c r="H365" t="n">
        <x:v>30</x:v>
      </x:c>
      <x:c r="I365" t="n">
        <x:v>0</x:v>
      </x:c>
      <x:c r="J365" t="str">
        <x:v>Ninguna</x:v>
      </x:c>
      <x:c r="K365" t="str">
        <x:v>No</x:v>
      </x:c>
      <x:c r="L365" t="str">
        <x:v>Barcelona</x:v>
      </x:c>
      <x:c r="M365" t="n">
        <x:f>IF(AND(B365&gt;=DATE(2026,7,1),B365&lt;=DATE(2026,9,30),G365&gt;=DATE(2026,7,1),G365&lt;=DATE(2026,9,30)),1,0)</x:f>
        <x:v>1</x:v>
      </x:c>
      <x:c r="N365" t="n">
        <x:f>IF(M365=1,IF(G365&lt;=F365,1,0),0)</x:f>
        <x:v>0</x:v>
      </x:c>
      <x:c r="O365" t="n">
        <x:f>IF(AND(M365=1,K365="Sí",G365&gt;F365),1,0)</x:f>
        <x:v>0</x:v>
      </x:c>
      <x:c r="P365" t="n">
        <x:f>IF(AND(M365=1,I365&gt;0),1,0)</x:f>
        <x:v>0</x:v>
      </x:c>
      <x:c r="Q365" t="n">
        <x:f>IF(AND(B365&gt;=DATE(2026,7,1),B365&lt;=DATE(2026,9,30),G365&gt;=DATE(2026,10,1),G365&lt;=DATE(2026,10,7)),1,0)</x:f>
        <x:v>0</x:v>
      </x:c>
      <x:c r="R365" t="n">
        <x:f>IF(AND(B365&gt;=DATE(2026,7,1),B365&lt;=DATE(2026,9,30),G365&gt;DATE(2026,10,7)),1,0)</x:f>
        <x:v>0</x:v>
      </x:c>
      <x:c r="S365" t="n">
        <x:f>IF(AND(M365=1,J365&lt;&gt;"Ninguna"),1,0)</x:f>
        <x:v>0</x:v>
      </x:c>
    </x:row>
    <x:row r="366">
      <x:c r="A366" t="str">
        <x:v>PED-0365</x:v>
      </x:c>
      <x:c r="B366" s="12" t="n">
        <x:v>46277</x:v>
      </x:c>
      <x:c r="C366" t="str">
        <x:v>PackPro</x:v>
      </x:c>
      <x:c r="D366" t="str">
        <x:v>Embalaje</x:v>
      </x:c>
      <x:c r="E366" s="10" t="n">
        <x:v>635.36</x:v>
      </x:c>
      <x:c r="F366" s="12" t="n">
        <x:v>46284</x:v>
      </x:c>
      <x:c r="G366" s="12" t="n">
        <x:v>46286</x:v>
      </x:c>
      <x:c r="H366" t="n">
        <x:v>119</x:v>
      </x:c>
      <x:c r="I366" t="n">
        <x:v>0</x:v>
      </x:c>
      <x:c r="J366" t="str">
        <x:v>Ninguna</x:v>
      </x:c>
      <x:c r="K366" t="str">
        <x:v>No</x:v>
      </x:c>
      <x:c r="L366" t="str">
        <x:v>Valencia</x:v>
      </x:c>
      <x:c r="M366" t="n">
        <x:f>IF(AND(B366&gt;=DATE(2026,7,1),B366&lt;=DATE(2026,9,30),G366&gt;=DATE(2026,7,1),G366&lt;=DATE(2026,9,30)),1,0)</x:f>
        <x:v>1</x:v>
      </x:c>
      <x:c r="N366" t="n">
        <x:f>IF(M366=1,IF(G366&lt;=F366,1,0),0)</x:f>
        <x:v>0</x:v>
      </x:c>
      <x:c r="O366" t="n">
        <x:f>IF(AND(M366=1,K366="Sí",G366&gt;F366),1,0)</x:f>
        <x:v>0</x:v>
      </x:c>
      <x:c r="P366" t="n">
        <x:f>IF(AND(M366=1,I366&gt;0),1,0)</x:f>
        <x:v>0</x:v>
      </x:c>
      <x:c r="Q366" t="n">
        <x:f>IF(AND(B366&gt;=DATE(2026,7,1),B366&lt;=DATE(2026,9,30),G366&gt;=DATE(2026,10,1),G366&lt;=DATE(2026,10,7)),1,0)</x:f>
        <x:v>0</x:v>
      </x:c>
      <x:c r="R366" t="n">
        <x:f>IF(AND(B366&gt;=DATE(2026,7,1),B366&lt;=DATE(2026,9,30),G366&gt;DATE(2026,10,7)),1,0)</x:f>
        <x:v>0</x:v>
      </x:c>
      <x:c r="S366" t="n">
        <x:f>IF(AND(M366=1,J366&lt;&gt;"Ninguna"),1,0)</x:f>
        <x:v>0</x:v>
      </x:c>
    </x:row>
    <x:row r="367">
      <x:c r="A367" t="str">
        <x:v>PED-0366</x:v>
      </x:c>
      <x:c r="B367" s="12" t="n">
        <x:v>46248</x:v>
      </x:c>
      <x:c r="C367" t="str">
        <x:v>OfiPlus</x:v>
      </x:c>
      <x:c r="D367" t="str">
        <x:v>Consumibles</x:v>
      </x:c>
      <x:c r="E367" s="10" t="n">
        <x:v>867.26</x:v>
      </x:c>
      <x:c r="F367" s="12" t="n">
        <x:v>46254</x:v>
      </x:c>
      <x:c r="G367" s="12" t="n">
        <x:v>46257</x:v>
      </x:c>
      <x:c r="H367" t="n">
        <x:v>173</x:v>
      </x:c>
      <x:c r="I367" t="n">
        <x:v>0</x:v>
      </x:c>
      <x:c r="J367" t="str">
        <x:v>Ninguna</x:v>
      </x:c>
      <x:c r="K367" t="str">
        <x:v>No</x:v>
      </x:c>
      <x:c r="L367" t="str">
        <x:v>Zaragoza</x:v>
      </x:c>
      <x:c r="M367" t="n">
        <x:f>IF(AND(B367&gt;=DATE(2026,7,1),B367&lt;=DATE(2026,9,30),G367&gt;=DATE(2026,7,1),G367&lt;=DATE(2026,9,30)),1,0)</x:f>
        <x:v>1</x:v>
      </x:c>
      <x:c r="N367" t="n">
        <x:f>IF(M367=1,IF(G367&lt;=F367,1,0),0)</x:f>
        <x:v>0</x:v>
      </x:c>
      <x:c r="O367" t="n">
        <x:f>IF(AND(M367=1,K367="Sí",G367&gt;F367),1,0)</x:f>
        <x:v>0</x:v>
      </x:c>
      <x:c r="P367" t="n">
        <x:f>IF(AND(M367=1,I367&gt;0),1,0)</x:f>
        <x:v>0</x:v>
      </x:c>
      <x:c r="Q367" t="n">
        <x:f>IF(AND(B367&gt;=DATE(2026,7,1),B367&lt;=DATE(2026,9,30),G367&gt;=DATE(2026,10,1),G367&lt;=DATE(2026,10,7)),1,0)</x:f>
        <x:v>0</x:v>
      </x:c>
      <x:c r="R367" t="n">
        <x:f>IF(AND(B367&gt;=DATE(2026,7,1),B367&lt;=DATE(2026,9,30),G367&gt;DATE(2026,10,7)),1,0)</x:f>
        <x:v>0</x:v>
      </x:c>
      <x:c r="S367" t="n">
        <x:f>IF(AND(M367=1,J367&lt;&gt;"Ninguna"),1,0)</x:f>
        <x:v>0</x:v>
      </x:c>
    </x:row>
    <x:row r="368">
      <x:c r="A368" t="str">
        <x:v>PED-0367</x:v>
      </x:c>
      <x:c r="B368" s="12" t="n">
        <x:v>46281</x:v>
      </x:c>
      <x:c r="C368" t="str">
        <x:v>MecaParts</x:v>
      </x:c>
      <x:c r="D368" t="str">
        <x:v>Componentes mecánicos</x:v>
      </x:c>
      <x:c r="E368" s="10" t="n">
        <x:v>2273.13</x:v>
      </x:c>
      <x:c r="F368" s="12" t="n">
        <x:v>46291</x:v>
      </x:c>
      <x:c r="G368" s="12" t="n">
        <x:v>46290</x:v>
      </x:c>
      <x:c r="H368" t="n">
        <x:v>177</x:v>
      </x:c>
      <x:c r="I368" t="n">
        <x:v>0</x:v>
      </x:c>
      <x:c r="J368" t="str">
        <x:v>Ninguna</x:v>
      </x:c>
      <x:c r="K368" t="str">
        <x:v>No</x:v>
      </x:c>
      <x:c r="L368" t="str">
        <x:v>Valencia</x:v>
      </x:c>
      <x:c r="M368" t="n">
        <x:f>IF(AND(B368&gt;=DATE(2026,7,1),B368&lt;=DATE(2026,9,30),G368&gt;=DATE(2026,7,1),G368&lt;=DATE(2026,9,30)),1,0)</x:f>
        <x:v>1</x:v>
      </x:c>
      <x:c r="N368" t="n">
        <x:f>IF(M368=1,IF(G368&lt;=F368,1,0),0)</x:f>
        <x:v>1</x:v>
      </x:c>
      <x:c r="O368" t="n">
        <x:f>IF(AND(M368=1,K368="Sí",G368&gt;F368),1,0)</x:f>
        <x:v>0</x:v>
      </x:c>
      <x:c r="P368" t="n">
        <x:f>IF(AND(M368=1,I368&gt;0),1,0)</x:f>
        <x:v>0</x:v>
      </x:c>
      <x:c r="Q368" t="n">
        <x:f>IF(AND(B368&gt;=DATE(2026,7,1),B368&lt;=DATE(2026,9,30),G368&gt;=DATE(2026,10,1),G368&lt;=DATE(2026,10,7)),1,0)</x:f>
        <x:v>0</x:v>
      </x:c>
      <x:c r="R368" t="n">
        <x:f>IF(AND(B368&gt;=DATE(2026,7,1),B368&lt;=DATE(2026,9,30),G368&gt;DATE(2026,10,7)),1,0)</x:f>
        <x:v>0</x:v>
      </x:c>
      <x:c r="S368" t="n">
        <x:f>IF(AND(M368=1,J368&lt;&gt;"Ninguna"),1,0)</x:f>
        <x:v>0</x:v>
      </x:c>
    </x:row>
    <x:row r="369">
      <x:c r="A369" t="str">
        <x:v>PED-0368</x:v>
      </x:c>
      <x:c r="B369" s="12" t="n">
        <x:v>46248</x:v>
      </x:c>
      <x:c r="C369" t="str">
        <x:v>OfiPlus</x:v>
      </x:c>
      <x:c r="D369" t="str">
        <x:v>Consumibles</x:v>
      </x:c>
      <x:c r="E369" s="10" t="n">
        <x:v>4425.31</x:v>
      </x:c>
      <x:c r="F369" s="12" t="n">
        <x:v>46253</x:v>
      </x:c>
      <x:c r="G369" s="12" t="n">
        <x:v>46254</x:v>
      </x:c>
      <x:c r="H369" t="n">
        <x:v>394</x:v>
      </x:c>
      <x:c r="I369" t="n">
        <x:v>0</x:v>
      </x:c>
      <x:c r="J369" t="str">
        <x:v>Ninguna</x:v>
      </x:c>
      <x:c r="K369" t="str">
        <x:v>No</x:v>
      </x:c>
      <x:c r="L369" t="str">
        <x:v>Barcelona</x:v>
      </x:c>
      <x:c r="M369" t="n">
        <x:f>IF(AND(B369&gt;=DATE(2026,7,1),B369&lt;=DATE(2026,9,30),G369&gt;=DATE(2026,7,1),G369&lt;=DATE(2026,9,30)),1,0)</x:f>
        <x:v>1</x:v>
      </x:c>
      <x:c r="N369" t="n">
        <x:f>IF(M369=1,IF(G369&lt;=F369,1,0),0)</x:f>
        <x:v>0</x:v>
      </x:c>
      <x:c r="O369" t="n">
        <x:f>IF(AND(M369=1,K369="Sí",G369&gt;F369),1,0)</x:f>
        <x:v>0</x:v>
      </x:c>
      <x:c r="P369" t="n">
        <x:f>IF(AND(M369=1,I369&gt;0),1,0)</x:f>
        <x:v>0</x:v>
      </x:c>
      <x:c r="Q369" t="n">
        <x:f>IF(AND(B369&gt;=DATE(2026,7,1),B369&lt;=DATE(2026,9,30),G369&gt;=DATE(2026,10,1),G369&lt;=DATE(2026,10,7)),1,0)</x:f>
        <x:v>0</x:v>
      </x:c>
      <x:c r="R369" t="n">
        <x:f>IF(AND(B369&gt;=DATE(2026,7,1),B369&lt;=DATE(2026,9,30),G369&gt;DATE(2026,10,7)),1,0)</x:f>
        <x:v>0</x:v>
      </x:c>
      <x:c r="S369" t="n">
        <x:f>IF(AND(M369=1,J369&lt;&gt;"Ninguna"),1,0)</x:f>
        <x:v>0</x:v>
      </x:c>
    </x:row>
    <x:row r="370">
      <x:c r="A370" t="str">
        <x:v>PED-0369</x:v>
      </x:c>
      <x:c r="B370" s="12" t="n">
        <x:v>46261</x:v>
      </x:c>
      <x:c r="C370" t="str">
        <x:v>OfiPlus</x:v>
      </x:c>
      <x:c r="D370" t="str">
        <x:v>Consumibles</x:v>
      </x:c>
      <x:c r="E370" s="10" t="n">
        <x:v>2319.74</x:v>
      </x:c>
      <x:c r="F370" s="12" t="n">
        <x:v>46264</x:v>
      </x:c>
      <x:c r="G370" s="12" t="n">
        <x:v>46266</x:v>
      </x:c>
      <x:c r="H370" t="n">
        <x:v>51</x:v>
      </x:c>
      <x:c r="I370" t="n">
        <x:v>0</x:v>
      </x:c>
      <x:c r="J370" t="str">
        <x:v>Ninguna</x:v>
      </x:c>
      <x:c r="K370" t="str">
        <x:v>No</x:v>
      </x:c>
      <x:c r="L370" t="str">
        <x:v>Valencia</x:v>
      </x:c>
      <x:c r="M370" t="n">
        <x:f>IF(AND(B370&gt;=DATE(2026,7,1),B370&lt;=DATE(2026,9,30),G370&gt;=DATE(2026,7,1),G370&lt;=DATE(2026,9,30)),1,0)</x:f>
        <x:v>1</x:v>
      </x:c>
      <x:c r="N370" t="n">
        <x:f>IF(M370=1,IF(G370&lt;=F370,1,0),0)</x:f>
        <x:v>0</x:v>
      </x:c>
      <x:c r="O370" t="n">
        <x:f>IF(AND(M370=1,K370="Sí",G370&gt;F370),1,0)</x:f>
        <x:v>0</x:v>
      </x:c>
      <x:c r="P370" t="n">
        <x:f>IF(AND(M370=1,I370&gt;0),1,0)</x:f>
        <x:v>0</x:v>
      </x:c>
      <x:c r="Q370" t="n">
        <x:f>IF(AND(B370&gt;=DATE(2026,7,1),B370&lt;=DATE(2026,9,30),G370&gt;=DATE(2026,10,1),G370&lt;=DATE(2026,10,7)),1,0)</x:f>
        <x:v>0</x:v>
      </x:c>
      <x:c r="R370" t="n">
        <x:f>IF(AND(B370&gt;=DATE(2026,7,1),B370&lt;=DATE(2026,9,30),G370&gt;DATE(2026,10,7)),1,0)</x:f>
        <x:v>0</x:v>
      </x:c>
      <x:c r="S370" t="n">
        <x:f>IF(AND(M370=1,J370&lt;&gt;"Ninguna"),1,0)</x:f>
        <x:v>0</x:v>
      </x:c>
    </x:row>
    <x:row r="371">
      <x:c r="A371" t="str">
        <x:v>PED-0370</x:v>
      </x:c>
      <x:c r="B371" s="12" t="n">
        <x:v>46235</x:v>
      </x:c>
      <x:c r="C371" t="str">
        <x:v>OfiPlus</x:v>
      </x:c>
      <x:c r="D371" t="str">
        <x:v>Consumibles</x:v>
      </x:c>
      <x:c r="E371" s="10" t="n">
        <x:v>5107.19</x:v>
      </x:c>
      <x:c r="F371" s="12" t="n">
        <x:v>46238</x:v>
      </x:c>
      <x:c r="G371" s="12" t="n">
        <x:v>46236</x:v>
      </x:c>
      <x:c r="H371" t="n">
        <x:v>244</x:v>
      </x:c>
      <x:c r="I371" t="n">
        <x:v>0</x:v>
      </x:c>
      <x:c r="J371" t="str">
        <x:v>Ninguna</x:v>
      </x:c>
      <x:c r="K371" t="str">
        <x:v>No</x:v>
      </x:c>
      <x:c r="L371" t="str">
        <x:v>Zaragoza</x:v>
      </x:c>
      <x:c r="M371" t="n">
        <x:f>IF(AND(B371&gt;=DATE(2026,7,1),B371&lt;=DATE(2026,9,30),G371&gt;=DATE(2026,7,1),G371&lt;=DATE(2026,9,30)),1,0)</x:f>
        <x:v>1</x:v>
      </x:c>
      <x:c r="N371" t="n">
        <x:f>IF(M371=1,IF(G371&lt;=F371,1,0),0)</x:f>
        <x:v>1</x:v>
      </x:c>
      <x:c r="O371" t="n">
        <x:f>IF(AND(M371=1,K371="Sí",G371&gt;F371),1,0)</x:f>
        <x:v>0</x:v>
      </x:c>
      <x:c r="P371" t="n">
        <x:f>IF(AND(M371=1,I371&gt;0),1,0)</x:f>
        <x:v>0</x:v>
      </x:c>
      <x:c r="Q371" t="n">
        <x:f>IF(AND(B371&gt;=DATE(2026,7,1),B371&lt;=DATE(2026,9,30),G371&gt;=DATE(2026,10,1),G371&lt;=DATE(2026,10,7)),1,0)</x:f>
        <x:v>0</x:v>
      </x:c>
      <x:c r="R371" t="n">
        <x:f>IF(AND(B371&gt;=DATE(2026,7,1),B371&lt;=DATE(2026,9,30),G371&gt;DATE(2026,10,7)),1,0)</x:f>
        <x:v>0</x:v>
      </x:c>
      <x:c r="S371" t="n">
        <x:f>IF(AND(M371=1,J371&lt;&gt;"Ninguna"),1,0)</x:f>
        <x:v>0</x:v>
      </x:c>
    </x:row>
    <x:row r="372">
      <x:c r="A372" t="str">
        <x:v>PED-0371</x:v>
      </x:c>
      <x:c r="B372" s="12" t="n">
        <x:v>46248</x:v>
      </x:c>
      <x:c r="C372" t="str">
        <x:v>MecaParts</x:v>
      </x:c>
      <x:c r="D372" t="str">
        <x:v>Componentes mecánicos</x:v>
      </x:c>
      <x:c r="E372" s="10" t="n">
        <x:v>8243.2</x:v>
      </x:c>
      <x:c r="F372" s="12" t="n">
        <x:v>46257</x:v>
      </x:c>
      <x:c r="G372" s="12" t="n">
        <x:v>46256</x:v>
      </x:c>
      <x:c r="H372" t="n">
        <x:v>205</x:v>
      </x:c>
      <x:c r="I372" t="n">
        <x:v>0</x:v>
      </x:c>
      <x:c r="J372" t="str">
        <x:v>Ninguna</x:v>
      </x:c>
      <x:c r="K372" t="str">
        <x:v>No</x:v>
      </x:c>
      <x:c r="L372" t="str">
        <x:v>Barcelona</x:v>
      </x:c>
      <x:c r="M372" t="n">
        <x:f>IF(AND(B372&gt;=DATE(2026,7,1),B372&lt;=DATE(2026,9,30),G372&gt;=DATE(2026,7,1),G372&lt;=DATE(2026,9,30)),1,0)</x:f>
        <x:v>1</x:v>
      </x:c>
      <x:c r="N372" t="n">
        <x:f>IF(M372=1,IF(G372&lt;=F372,1,0),0)</x:f>
        <x:v>1</x:v>
      </x:c>
      <x:c r="O372" t="n">
        <x:f>IF(AND(M372=1,K372="Sí",G372&gt;F372),1,0)</x:f>
        <x:v>0</x:v>
      </x:c>
      <x:c r="P372" t="n">
        <x:f>IF(AND(M372=1,I372&gt;0),1,0)</x:f>
        <x:v>0</x:v>
      </x:c>
      <x:c r="Q372" t="n">
        <x:f>IF(AND(B372&gt;=DATE(2026,7,1),B372&lt;=DATE(2026,9,30),G372&gt;=DATE(2026,10,1),G372&lt;=DATE(2026,10,7)),1,0)</x:f>
        <x:v>0</x:v>
      </x:c>
      <x:c r="R372" t="n">
        <x:f>IF(AND(B372&gt;=DATE(2026,7,1),B372&lt;=DATE(2026,9,30),G372&gt;DATE(2026,10,7)),1,0)</x:f>
        <x:v>0</x:v>
      </x:c>
      <x:c r="S372" t="n">
        <x:f>IF(AND(M372=1,J372&lt;&gt;"Ninguna"),1,0)</x:f>
        <x:v>0</x:v>
      </x:c>
    </x:row>
    <x:row r="373">
      <x:c r="A373" t="str">
        <x:v>PED-0372</x:v>
      </x:c>
      <x:c r="B373" s="12" t="n">
        <x:v>46249</x:v>
      </x:c>
      <x:c r="C373" t="str">
        <x:v>MecaParts</x:v>
      </x:c>
      <x:c r="D373" t="str">
        <x:v>Componentes mecánicos</x:v>
      </x:c>
      <x:c r="E373" s="10" t="n">
        <x:v>1842.12</x:v>
      </x:c>
      <x:c r="F373" s="12" t="n">
        <x:v>46258</x:v>
      </x:c>
      <x:c r="G373" s="12" t="n">
        <x:v>46263</x:v>
      </x:c>
      <x:c r="H373" t="n">
        <x:v>107</x:v>
      </x:c>
      <x:c r="I373" t="n">
        <x:v>0</x:v>
      </x:c>
      <x:c r="J373" t="str">
        <x:v>Retraso</x:v>
      </x:c>
      <x:c r="K373" t="str">
        <x:v>No</x:v>
      </x:c>
      <x:c r="L373" t="str">
        <x:v>Valencia</x:v>
      </x:c>
      <x:c r="M373" t="n">
        <x:f>IF(AND(B373&gt;=DATE(2026,7,1),B373&lt;=DATE(2026,9,30),G373&gt;=DATE(2026,7,1),G373&lt;=DATE(2026,9,30)),1,0)</x:f>
        <x:v>1</x:v>
      </x:c>
      <x:c r="N373" t="n">
        <x:f>IF(M373=1,IF(G373&lt;=F373,1,0),0)</x:f>
        <x:v>0</x:v>
      </x:c>
      <x:c r="O373" t="n">
        <x:f>IF(AND(M373=1,K373="Sí",G373&gt;F373),1,0)</x:f>
        <x:v>0</x:v>
      </x:c>
      <x:c r="P373" t="n">
        <x:f>IF(AND(M373=1,I373&gt;0),1,0)</x:f>
        <x:v>0</x:v>
      </x:c>
      <x:c r="Q373" t="n">
        <x:f>IF(AND(B373&gt;=DATE(2026,7,1),B373&lt;=DATE(2026,9,30),G373&gt;=DATE(2026,10,1),G373&lt;=DATE(2026,10,7)),1,0)</x:f>
        <x:v>0</x:v>
      </x:c>
      <x:c r="R373" t="n">
        <x:f>IF(AND(B373&gt;=DATE(2026,7,1),B373&lt;=DATE(2026,9,30),G373&gt;DATE(2026,10,7)),1,0)</x:f>
        <x:v>0</x:v>
      </x:c>
      <x:c r="S373" t="n">
        <x:f>IF(AND(M373=1,J373&lt;&gt;"Ninguna"),1,0)</x:f>
        <x:v>1</x:v>
      </x:c>
    </x:row>
    <x:row r="374">
      <x:c r="A374" t="str">
        <x:v>PED-0373</x:v>
      </x:c>
      <x:c r="B374" s="12" t="n">
        <x:v>46219</x:v>
      </x:c>
      <x:c r="C374" t="str">
        <x:v>PackPro</x:v>
      </x:c>
      <x:c r="D374" t="str">
        <x:v>Embalaje</x:v>
      </x:c>
      <x:c r="E374" s="10" t="n">
        <x:v>10643.78</x:v>
      </x:c>
      <x:c r="F374" s="12" t="n">
        <x:v>46225</x:v>
      </x:c>
      <x:c r="G374" s="12" t="n">
        <x:v>46226</x:v>
      </x:c>
      <x:c r="H374" t="n">
        <x:v>384</x:v>
      </x:c>
      <x:c r="I374" t="n">
        <x:v>0</x:v>
      </x:c>
      <x:c r="J374" t="str">
        <x:v>Ninguna</x:v>
      </x:c>
      <x:c r="K374" t="str">
        <x:v>No</x:v>
      </x:c>
      <x:c r="L374" t="str">
        <x:v>Valencia</x:v>
      </x:c>
      <x:c r="M374" t="n">
        <x:f>IF(AND(B374&gt;=DATE(2026,7,1),B374&lt;=DATE(2026,9,30),G374&gt;=DATE(2026,7,1),G374&lt;=DATE(2026,9,30)),1,0)</x:f>
        <x:v>1</x:v>
      </x:c>
      <x:c r="N374" t="n">
        <x:f>IF(M374=1,IF(G374&lt;=F374,1,0),0)</x:f>
        <x:v>0</x:v>
      </x:c>
      <x:c r="O374" t="n">
        <x:f>IF(AND(M374=1,K374="Sí",G374&gt;F374),1,0)</x:f>
        <x:v>0</x:v>
      </x:c>
      <x:c r="P374" t="n">
        <x:f>IF(AND(M374=1,I374&gt;0),1,0)</x:f>
        <x:v>0</x:v>
      </x:c>
      <x:c r="Q374" t="n">
        <x:f>IF(AND(B374&gt;=DATE(2026,7,1),B374&lt;=DATE(2026,9,30),G374&gt;=DATE(2026,10,1),G374&lt;=DATE(2026,10,7)),1,0)</x:f>
        <x:v>0</x:v>
      </x:c>
      <x:c r="R374" t="n">
        <x:f>IF(AND(B374&gt;=DATE(2026,7,1),B374&lt;=DATE(2026,9,30),G374&gt;DATE(2026,10,7)),1,0)</x:f>
        <x:v>0</x:v>
      </x:c>
      <x:c r="S374" t="n">
        <x:f>IF(AND(M374=1,J374&lt;&gt;"Ninguna"),1,0)</x:f>
        <x:v>0</x:v>
      </x:c>
    </x:row>
    <x:row r="375">
      <x:c r="A375" t="str">
        <x:v>PED-0374</x:v>
      </x:c>
      <x:c r="B375" s="12" t="n">
        <x:v>46231</x:v>
      </x:c>
      <x:c r="C375" t="str">
        <x:v>ElectraSupply</x:v>
      </x:c>
      <x:c r="D375" t="str">
        <x:v>Componentes eléctricos</x:v>
      </x:c>
      <x:c r="E375" s="10" t="n">
        <x:v>9888.21</x:v>
      </x:c>
      <x:c r="F375" s="12" t="n">
        <x:v>46243</x:v>
      </x:c>
      <x:c r="G375" s="12" t="n">
        <x:v>46244</x:v>
      </x:c>
      <x:c r="H375" t="n">
        <x:v>338</x:v>
      </x:c>
      <x:c r="I375" t="n">
        <x:v>0</x:v>
      </x:c>
      <x:c r="J375" t="str">
        <x:v>Ninguna</x:v>
      </x:c>
      <x:c r="K375" t="str">
        <x:v>No</x:v>
      </x:c>
      <x:c r="L375" t="str">
        <x:v>Valencia</x:v>
      </x:c>
      <x:c r="M375" t="n">
        <x:f>IF(AND(B375&gt;=DATE(2026,7,1),B375&lt;=DATE(2026,9,30),G375&gt;=DATE(2026,7,1),G375&lt;=DATE(2026,9,30)),1,0)</x:f>
        <x:v>1</x:v>
      </x:c>
      <x:c r="N375" t="n">
        <x:f>IF(M375=1,IF(G375&lt;=F375,1,0),0)</x:f>
        <x:v>0</x:v>
      </x:c>
      <x:c r="O375" t="n">
        <x:f>IF(AND(M375=1,K375="Sí",G375&gt;F375),1,0)</x:f>
        <x:v>0</x:v>
      </x:c>
      <x:c r="P375" t="n">
        <x:f>IF(AND(M375=1,I375&gt;0),1,0)</x:f>
        <x:v>0</x:v>
      </x:c>
      <x:c r="Q375" t="n">
        <x:f>IF(AND(B375&gt;=DATE(2026,7,1),B375&lt;=DATE(2026,9,30),G375&gt;=DATE(2026,10,1),G375&lt;=DATE(2026,10,7)),1,0)</x:f>
        <x:v>0</x:v>
      </x:c>
      <x:c r="R375" t="n">
        <x:f>IF(AND(B375&gt;=DATE(2026,7,1),B375&lt;=DATE(2026,9,30),G375&gt;DATE(2026,10,7)),1,0)</x:f>
        <x:v>0</x:v>
      </x:c>
      <x:c r="S375" t="n">
        <x:f>IF(AND(M375=1,J375&lt;&gt;"Ninguna"),1,0)</x:f>
        <x:v>0</x:v>
      </x:c>
    </x:row>
    <x:row r="376">
      <x:c r="A376" t="str">
        <x:v>PED-0375</x:v>
      </x:c>
      <x:c r="B376" s="12" t="n">
        <x:v>46219</x:v>
      </x:c>
      <x:c r="C376" t="str">
        <x:v>MecaParts</x:v>
      </x:c>
      <x:c r="D376" t="str">
        <x:v>Componentes mecánicos</x:v>
      </x:c>
      <x:c r="E376" s="10" t="n">
        <x:v>6333.68</x:v>
      </x:c>
      <x:c r="F376" s="12" t="n">
        <x:v>46229</x:v>
      </x:c>
      <x:c r="G376" s="12" t="n">
        <x:v>46229</x:v>
      </x:c>
      <x:c r="H376" t="n">
        <x:v>186</x:v>
      </x:c>
      <x:c r="I376" t="n">
        <x:v>0</x:v>
      </x:c>
      <x:c r="J376" t="str">
        <x:v>Ninguna</x:v>
      </x:c>
      <x:c r="K376" t="str">
        <x:v>No</x:v>
      </x:c>
      <x:c r="L376" t="str">
        <x:v>Valencia</x:v>
      </x:c>
      <x:c r="M376" t="n">
        <x:f>IF(AND(B376&gt;=DATE(2026,7,1),B376&lt;=DATE(2026,9,30),G376&gt;=DATE(2026,7,1),G376&lt;=DATE(2026,9,30)),1,0)</x:f>
        <x:v>1</x:v>
      </x:c>
      <x:c r="N376" t="n">
        <x:f>IF(M376=1,IF(G376&lt;=F376,1,0),0)</x:f>
        <x:v>1</x:v>
      </x:c>
      <x:c r="O376" t="n">
        <x:f>IF(AND(M376=1,K376="Sí",G376&gt;F376),1,0)</x:f>
        <x:v>0</x:v>
      </x:c>
      <x:c r="P376" t="n">
        <x:f>IF(AND(M376=1,I376&gt;0),1,0)</x:f>
        <x:v>0</x:v>
      </x:c>
      <x:c r="Q376" t="n">
        <x:f>IF(AND(B376&gt;=DATE(2026,7,1),B376&lt;=DATE(2026,9,30),G376&gt;=DATE(2026,10,1),G376&lt;=DATE(2026,10,7)),1,0)</x:f>
        <x:v>0</x:v>
      </x:c>
      <x:c r="R376" t="n">
        <x:f>IF(AND(B376&gt;=DATE(2026,7,1),B376&lt;=DATE(2026,9,30),G376&gt;DATE(2026,10,7)),1,0)</x:f>
        <x:v>0</x:v>
      </x:c>
      <x:c r="S376" t="n">
        <x:f>IF(AND(M376=1,J376&lt;&gt;"Ninguna"),1,0)</x:f>
        <x:v>0</x:v>
      </x:c>
    </x:row>
    <x:row r="377">
      <x:c r="A377" t="str">
        <x:v>PED-0376</x:v>
      </x:c>
      <x:c r="B377" s="12" t="n">
        <x:v>46210</x:v>
      </x:c>
      <x:c r="C377" t="str">
        <x:v>PackPro</x:v>
      </x:c>
      <x:c r="D377" t="str">
        <x:v>Embalaje</x:v>
      </x:c>
      <x:c r="E377" s="10" t="n">
        <x:v>8755.95</x:v>
      </x:c>
      <x:c r="F377" s="12" t="n">
        <x:v>46216</x:v>
      </x:c>
      <x:c r="G377" s="12" t="n">
        <x:v>46219</x:v>
      </x:c>
      <x:c r="H377" t="n">
        <x:v>179</x:v>
      </x:c>
      <x:c r="I377" t="n">
        <x:v>0</x:v>
      </x:c>
      <x:c r="J377" t="str">
        <x:v>Ninguna</x:v>
      </x:c>
      <x:c r="K377" t="str">
        <x:v>No</x:v>
      </x:c>
      <x:c r="L377" t="str">
        <x:v>Barcelona</x:v>
      </x:c>
      <x:c r="M377" t="n">
        <x:f>IF(AND(B377&gt;=DATE(2026,7,1),B377&lt;=DATE(2026,9,30),G377&gt;=DATE(2026,7,1),G377&lt;=DATE(2026,9,30)),1,0)</x:f>
        <x:v>1</x:v>
      </x:c>
      <x:c r="N377" t="n">
        <x:f>IF(M377=1,IF(G377&lt;=F377,1,0),0)</x:f>
        <x:v>0</x:v>
      </x:c>
      <x:c r="O377" t="n">
        <x:f>IF(AND(M377=1,K377="Sí",G377&gt;F377),1,0)</x:f>
        <x:v>0</x:v>
      </x:c>
      <x:c r="P377" t="n">
        <x:f>IF(AND(M377=1,I377&gt;0),1,0)</x:f>
        <x:v>0</x:v>
      </x:c>
      <x:c r="Q377" t="n">
        <x:f>IF(AND(B377&gt;=DATE(2026,7,1),B377&lt;=DATE(2026,9,30),G377&gt;=DATE(2026,10,1),G377&lt;=DATE(2026,10,7)),1,0)</x:f>
        <x:v>0</x:v>
      </x:c>
      <x:c r="R377" t="n">
        <x:f>IF(AND(B377&gt;=DATE(2026,7,1),B377&lt;=DATE(2026,9,30),G377&gt;DATE(2026,10,7)),1,0)</x:f>
        <x:v>0</x:v>
      </x:c>
      <x:c r="S377" t="n">
        <x:f>IF(AND(M377=1,J377&lt;&gt;"Ninguna"),1,0)</x:f>
        <x:v>0</x:v>
      </x:c>
    </x:row>
    <x:row r="378">
      <x:c r="A378" t="str">
        <x:v>PED-0377</x:v>
      </x:c>
      <x:c r="B378" s="12" t="n">
        <x:v>46293</x:v>
      </x:c>
      <x:c r="C378" t="str">
        <x:v>ElectraSupply</x:v>
      </x:c>
      <x:c r="D378" t="str">
        <x:v>Componentes eléctricos</x:v>
      </x:c>
      <x:c r="E378" s="10" t="n">
        <x:v>16834.46</x:v>
      </x:c>
      <x:c r="F378" s="12" t="n">
        <x:v>46305</x:v>
      </x:c>
      <x:c r="G378" s="12" t="n">
        <x:v>46311</x:v>
      </x:c>
      <x:c r="H378" t="n">
        <x:v>344</x:v>
      </x:c>
      <x:c r="I378" t="n">
        <x:v>0</x:v>
      </x:c>
      <x:c r="J378" t="str">
        <x:v>Ninguna</x:v>
      </x:c>
      <x:c r="K378" t="str">
        <x:v>No</x:v>
      </x:c>
      <x:c r="L378" t="str">
        <x:v>Barcelona</x:v>
      </x:c>
      <x:c r="M378" t="n">
        <x:f>IF(AND(B378&gt;=DATE(2026,7,1),B378&lt;=DATE(2026,9,30),G378&gt;=DATE(2026,7,1),G378&lt;=DATE(2026,9,30)),1,0)</x:f>
        <x:v>0</x:v>
      </x:c>
      <x:c r="N378" t="n">
        <x:f>IF(M378=1,IF(G378&lt;=F378,1,0),0)</x:f>
        <x:v>0</x:v>
      </x:c>
      <x:c r="O378" t="n">
        <x:f>IF(AND(M378=1,K378="Sí",G378&gt;F378),1,0)</x:f>
        <x:v>0</x:v>
      </x:c>
      <x:c r="P378" t="n">
        <x:f>IF(AND(M378=1,I378&gt;0),1,0)</x:f>
        <x:v>0</x:v>
      </x:c>
      <x:c r="Q378" t="n">
        <x:f>IF(AND(B378&gt;=DATE(2026,7,1),B378&lt;=DATE(2026,9,30),G378&gt;=DATE(2026,10,1),G378&lt;=DATE(2026,10,7)),1,0)</x:f>
        <x:v>0</x:v>
      </x:c>
      <x:c r="R378" t="n">
        <x:f>IF(AND(B378&gt;=DATE(2026,7,1),B378&lt;=DATE(2026,9,30),G378&gt;DATE(2026,10,7)),1,0)</x:f>
        <x:v>1</x:v>
      </x:c>
      <x:c r="S378" t="n">
        <x:f>IF(AND(M378=1,J378&lt;&gt;"Ninguna"),1,0)</x:f>
        <x:v>0</x:v>
      </x:c>
    </x:row>
    <x:row r="379">
      <x:c r="A379" t="str">
        <x:v>PED-0378</x:v>
      </x:c>
      <x:c r="B379" s="12" t="n">
        <x:v>46253</x:v>
      </x:c>
      <x:c r="C379" t="str">
        <x:v>ElectraSupply</x:v>
      </x:c>
      <x:c r="D379" t="str">
        <x:v>Componentes eléctricos</x:v>
      </x:c>
      <x:c r="E379" s="10" t="n">
        <x:v>2286.7</x:v>
      </x:c>
      <x:c r="F379" s="12" t="n">
        <x:v>46267</x:v>
      </x:c>
      <x:c r="G379" s="12" t="n">
        <x:v>46271</x:v>
      </x:c>
      <x:c r="H379" t="n">
        <x:v>139</x:v>
      </x:c>
      <x:c r="I379" t="n">
        <x:v>0</x:v>
      </x:c>
      <x:c r="J379" t="str">
        <x:v>Ninguna</x:v>
      </x:c>
      <x:c r="K379" t="str">
        <x:v>No</x:v>
      </x:c>
      <x:c r="L379" t="str">
        <x:v>Valencia</x:v>
      </x:c>
      <x:c r="M379" t="n">
        <x:f>IF(AND(B379&gt;=DATE(2026,7,1),B379&lt;=DATE(2026,9,30),G379&gt;=DATE(2026,7,1),G379&lt;=DATE(2026,9,30)),1,0)</x:f>
        <x:v>1</x:v>
      </x:c>
      <x:c r="N379" t="n">
        <x:f>IF(M379=1,IF(G379&lt;=F379,1,0),0)</x:f>
        <x:v>0</x:v>
      </x:c>
      <x:c r="O379" t="n">
        <x:f>IF(AND(M379=1,K379="Sí",G379&gt;F379),1,0)</x:f>
        <x:v>0</x:v>
      </x:c>
      <x:c r="P379" t="n">
        <x:f>IF(AND(M379=1,I379&gt;0),1,0)</x:f>
        <x:v>0</x:v>
      </x:c>
      <x:c r="Q379" t="n">
        <x:f>IF(AND(B379&gt;=DATE(2026,7,1),B379&lt;=DATE(2026,9,30),G379&gt;=DATE(2026,10,1),G379&lt;=DATE(2026,10,7)),1,0)</x:f>
        <x:v>0</x:v>
      </x:c>
      <x:c r="R379" t="n">
        <x:f>IF(AND(B379&gt;=DATE(2026,7,1),B379&lt;=DATE(2026,9,30),G379&gt;DATE(2026,10,7)),1,0)</x:f>
        <x:v>0</x:v>
      </x:c>
      <x:c r="S379" t="n">
        <x:f>IF(AND(M379=1,J379&lt;&gt;"Ninguna"),1,0)</x:f>
        <x:v>0</x:v>
      </x:c>
    </x:row>
    <x:row r="380">
      <x:c r="A380" t="str">
        <x:v>PED-0379</x:v>
      </x:c>
      <x:c r="B380" s="12" t="n">
        <x:v>46274</x:v>
      </x:c>
      <x:c r="C380" t="str">
        <x:v>MetalNova</x:v>
      </x:c>
      <x:c r="D380" t="str">
        <x:v>Materia prima</x:v>
      </x:c>
      <x:c r="E380" s="10" t="n">
        <x:v>3441.36</x:v>
      </x:c>
      <x:c r="F380" s="12" t="n">
        <x:v>46285</x:v>
      </x:c>
      <x:c r="G380" s="12" t="n">
        <x:v>46284</x:v>
      </x:c>
      <x:c r="H380" t="n">
        <x:v>349</x:v>
      </x:c>
      <x:c r="I380" t="n">
        <x:v>0</x:v>
      </x:c>
      <x:c r="J380" t="str">
        <x:v>Daño transporte</x:v>
      </x:c>
      <x:c r="K380" t="str">
        <x:v>No</x:v>
      </x:c>
      <x:c r="L380" t="str">
        <x:v>Zaragoza</x:v>
      </x:c>
      <x:c r="M380" t="n">
        <x:f>IF(AND(B380&gt;=DATE(2026,7,1),B380&lt;=DATE(2026,9,30),G380&gt;=DATE(2026,7,1),G380&lt;=DATE(2026,9,30)),1,0)</x:f>
        <x:v>1</x:v>
      </x:c>
      <x:c r="N380" t="n">
        <x:f>IF(M380=1,IF(G380&lt;=F380,1,0),0)</x:f>
        <x:v>1</x:v>
      </x:c>
      <x:c r="O380" t="n">
        <x:f>IF(AND(M380=1,K380="Sí",G380&gt;F380),1,0)</x:f>
        <x:v>0</x:v>
      </x:c>
      <x:c r="P380" t="n">
        <x:f>IF(AND(M380=1,I380&gt;0),1,0)</x:f>
        <x:v>0</x:v>
      </x:c>
      <x:c r="Q380" t="n">
        <x:f>IF(AND(B380&gt;=DATE(2026,7,1),B380&lt;=DATE(2026,9,30),G380&gt;=DATE(2026,10,1),G380&lt;=DATE(2026,10,7)),1,0)</x:f>
        <x:v>0</x:v>
      </x:c>
      <x:c r="R380" t="n">
        <x:f>IF(AND(B380&gt;=DATE(2026,7,1),B380&lt;=DATE(2026,9,30),G380&gt;DATE(2026,10,7)),1,0)</x:f>
        <x:v>0</x:v>
      </x:c>
      <x:c r="S380" t="n">
        <x:f>IF(AND(M380=1,J380&lt;&gt;"Ninguna"),1,0)</x:f>
        <x:v>1</x:v>
      </x:c>
    </x:row>
    <x:row r="381">
      <x:c r="A381" t="str">
        <x:v>PED-0380</x:v>
      </x:c>
      <x:c r="B381" s="12" t="n">
        <x:v>46274</x:v>
      </x:c>
      <x:c r="C381" t="str">
        <x:v>ElectraSupply</x:v>
      </x:c>
      <x:c r="D381" t="str">
        <x:v>Componentes eléctricos</x:v>
      </x:c>
      <x:c r="E381" s="10" t="n">
        <x:v>1425.64</x:v>
      </x:c>
      <x:c r="F381" s="12" t="n">
        <x:v>46285</x:v>
      </x:c>
      <x:c r="G381" s="12" t="n">
        <x:v>46290</x:v>
      </x:c>
      <x:c r="H381" t="n">
        <x:v>89</x:v>
      </x:c>
      <x:c r="I381" t="n">
        <x:v>0</x:v>
      </x:c>
      <x:c r="J381" t="str">
        <x:v>Ninguna</x:v>
      </x:c>
      <x:c r="K381" t="str">
        <x:v>No</x:v>
      </x:c>
      <x:c r="L381" t="str">
        <x:v>Barcelona</x:v>
      </x:c>
      <x:c r="M381" t="n">
        <x:f>IF(AND(B381&gt;=DATE(2026,7,1),B381&lt;=DATE(2026,9,30),G381&gt;=DATE(2026,7,1),G381&lt;=DATE(2026,9,30)),1,0)</x:f>
        <x:v>1</x:v>
      </x:c>
      <x:c r="N381" t="n">
        <x:f>IF(M381=1,IF(G381&lt;=F381,1,0),0)</x:f>
        <x:v>0</x:v>
      </x:c>
      <x:c r="O381" t="n">
        <x:f>IF(AND(M381=1,K381="Sí",G381&gt;F381),1,0)</x:f>
        <x:v>0</x:v>
      </x:c>
      <x:c r="P381" t="n">
        <x:f>IF(AND(M381=1,I381&gt;0),1,0)</x:f>
        <x:v>0</x:v>
      </x:c>
      <x:c r="Q381" t="n">
        <x:f>IF(AND(B381&gt;=DATE(2026,7,1),B381&lt;=DATE(2026,9,30),G381&gt;=DATE(2026,10,1),G381&lt;=DATE(2026,10,7)),1,0)</x:f>
        <x:v>0</x:v>
      </x:c>
      <x:c r="R381" t="n">
        <x:f>IF(AND(B381&gt;=DATE(2026,7,1),B381&lt;=DATE(2026,9,30),G381&gt;DATE(2026,10,7)),1,0)</x:f>
        <x:v>0</x:v>
      </x:c>
      <x:c r="S381" t="n">
        <x:f>IF(AND(M381=1,J381&lt;&gt;"Ninguna"),1,0)</x:f>
        <x:v>0</x:v>
      </x:c>
    </x:row>
    <x:row r="382">
      <x:c r="A382" t="str">
        <x:v>PED-0381</x:v>
      </x:c>
      <x:c r="B382" s="12" t="n">
        <x:v>46253</x:v>
      </x:c>
      <x:c r="C382" t="str">
        <x:v>ElectraSupply</x:v>
      </x:c>
      <x:c r="D382" t="str">
        <x:v>Componentes eléctricos</x:v>
      </x:c>
      <x:c r="E382" s="10" t="n">
        <x:v>2450.07</x:v>
      </x:c>
      <x:c r="F382" s="12" t="n">
        <x:v>46264</x:v>
      </x:c>
      <x:c r="G382" s="12" t="n">
        <x:v>46268</x:v>
      </x:c>
      <x:c r="H382" t="n">
        <x:v>77</x:v>
      </x:c>
      <x:c r="I382" t="n">
        <x:v>0</x:v>
      </x:c>
      <x:c r="J382" t="str">
        <x:v>Ninguna</x:v>
      </x:c>
      <x:c r="K382" t="str">
        <x:v>No</x:v>
      </x:c>
      <x:c r="L382" t="str">
        <x:v>Barcelona</x:v>
      </x:c>
      <x:c r="M382" t="n">
        <x:f>IF(AND(B382&gt;=DATE(2026,7,1),B382&lt;=DATE(2026,9,30),G382&gt;=DATE(2026,7,1),G382&lt;=DATE(2026,9,30)),1,0)</x:f>
        <x:v>1</x:v>
      </x:c>
      <x:c r="N382" t="n">
        <x:f>IF(M382=1,IF(G382&lt;=F382,1,0),0)</x:f>
        <x:v>0</x:v>
      </x:c>
      <x:c r="O382" t="n">
        <x:f>IF(AND(M382=1,K382="Sí",G382&gt;F382),1,0)</x:f>
        <x:v>0</x:v>
      </x:c>
      <x:c r="P382" t="n">
        <x:f>IF(AND(M382=1,I382&gt;0),1,0)</x:f>
        <x:v>0</x:v>
      </x:c>
      <x:c r="Q382" t="n">
        <x:f>IF(AND(B382&gt;=DATE(2026,7,1),B382&lt;=DATE(2026,9,30),G382&gt;=DATE(2026,10,1),G382&lt;=DATE(2026,10,7)),1,0)</x:f>
        <x:v>0</x:v>
      </x:c>
      <x:c r="R382" t="n">
        <x:f>IF(AND(B382&gt;=DATE(2026,7,1),B382&lt;=DATE(2026,9,30),G382&gt;DATE(2026,10,7)),1,0)</x:f>
        <x:v>0</x:v>
      </x:c>
      <x:c r="S382" t="n">
        <x:f>IF(AND(M382=1,J382&lt;&gt;"Ninguna"),1,0)</x:f>
        <x:v>0</x:v>
      </x:c>
    </x:row>
    <x:row r="383">
      <x:c r="A383" t="str">
        <x:v>PED-0382</x:v>
      </x:c>
      <x:c r="B383" s="12" t="n">
        <x:v>46269</x:v>
      </x:c>
      <x:c r="C383" t="str">
        <x:v>MecaParts</x:v>
      </x:c>
      <x:c r="D383" t="str">
        <x:v>Componentes mecánicos</x:v>
      </x:c>
      <x:c r="E383" s="10" t="n">
        <x:v>5299.58</x:v>
      </x:c>
      <x:c r="F383" s="12" t="n">
        <x:v>46277</x:v>
      </x:c>
      <x:c r="G383" s="12" t="n">
        <x:v>46280</x:v>
      </x:c>
      <x:c r="H383" t="n">
        <x:v>242</x:v>
      </x:c>
      <x:c r="I383" t="n">
        <x:v>0</x:v>
      </x:c>
      <x:c r="J383" t="str">
        <x:v>Ninguna</x:v>
      </x:c>
      <x:c r="K383" t="str">
        <x:v>No</x:v>
      </x:c>
      <x:c r="L383" t="str">
        <x:v>Barcelona</x:v>
      </x:c>
      <x:c r="M383" t="n">
        <x:f>IF(AND(B383&gt;=DATE(2026,7,1),B383&lt;=DATE(2026,9,30),G383&gt;=DATE(2026,7,1),G383&lt;=DATE(2026,9,30)),1,0)</x:f>
        <x:v>1</x:v>
      </x:c>
      <x:c r="N383" t="n">
        <x:f>IF(M383=1,IF(G383&lt;=F383,1,0),0)</x:f>
        <x:v>0</x:v>
      </x:c>
      <x:c r="O383" t="n">
        <x:f>IF(AND(M383=1,K383="Sí",G383&gt;F383),1,0)</x:f>
        <x:v>0</x:v>
      </x:c>
      <x:c r="P383" t="n">
        <x:f>IF(AND(M383=1,I383&gt;0),1,0)</x:f>
        <x:v>0</x:v>
      </x:c>
      <x:c r="Q383" t="n">
        <x:f>IF(AND(B383&gt;=DATE(2026,7,1),B383&lt;=DATE(2026,9,30),G383&gt;=DATE(2026,10,1),G383&lt;=DATE(2026,10,7)),1,0)</x:f>
        <x:v>0</x:v>
      </x:c>
      <x:c r="R383" t="n">
        <x:f>IF(AND(B383&gt;=DATE(2026,7,1),B383&lt;=DATE(2026,9,30),G383&gt;DATE(2026,10,7)),1,0)</x:f>
        <x:v>0</x:v>
      </x:c>
      <x:c r="S383" t="n">
        <x:f>IF(AND(M383=1,J383&lt;&gt;"Ninguna"),1,0)</x:f>
        <x:v>0</x:v>
      </x:c>
    </x:row>
    <x:row r="384">
      <x:c r="A384" t="str">
        <x:v>PED-0383</x:v>
      </x:c>
      <x:c r="B384" s="12" t="n">
        <x:v>46281</x:v>
      </x:c>
      <x:c r="C384" t="str">
        <x:v>MetalNova</x:v>
      </x:c>
      <x:c r="D384" t="str">
        <x:v>Materia prima</x:v>
      </x:c>
      <x:c r="E384" s="10" t="n">
        <x:v>1980.02</x:v>
      </x:c>
      <x:c r="F384" s="12" t="n">
        <x:v>46291</x:v>
      </x:c>
      <x:c r="G384" s="12" t="n">
        <x:v>46294</x:v>
      </x:c>
      <x:c r="H384" t="n">
        <x:v>100</x:v>
      </x:c>
      <x:c r="I384" t="n">
        <x:v>5</x:v>
      </x:c>
      <x:c r="J384" t="str">
        <x:v>Ninguna</x:v>
      </x:c>
      <x:c r="K384" t="str">
        <x:v>No</x:v>
      </x:c>
      <x:c r="L384" t="str">
        <x:v>Barcelona</x:v>
      </x:c>
      <x:c r="M384" t="n">
        <x:f>IF(AND(B384&gt;=DATE(2026,7,1),B384&lt;=DATE(2026,9,30),G384&gt;=DATE(2026,7,1),G384&lt;=DATE(2026,9,30)),1,0)</x:f>
        <x:v>1</x:v>
      </x:c>
      <x:c r="N384" t="n">
        <x:f>IF(M384=1,IF(G384&lt;=F384,1,0),0)</x:f>
        <x:v>0</x:v>
      </x:c>
      <x:c r="O384" t="n">
        <x:f>IF(AND(M384=1,K384="Sí",G384&gt;F384),1,0)</x:f>
        <x:v>0</x:v>
      </x:c>
      <x:c r="P384" t="n">
        <x:f>IF(AND(M384=1,I384&gt;0),1,0)</x:f>
        <x:v>1</x:v>
      </x:c>
      <x:c r="Q384" t="n">
        <x:f>IF(AND(B384&gt;=DATE(2026,7,1),B384&lt;=DATE(2026,9,30),G384&gt;=DATE(2026,10,1),G384&lt;=DATE(2026,10,7)),1,0)</x:f>
        <x:v>0</x:v>
      </x:c>
      <x:c r="R384" t="n">
        <x:f>IF(AND(B384&gt;=DATE(2026,7,1),B384&lt;=DATE(2026,9,30),G384&gt;DATE(2026,10,7)),1,0)</x:f>
        <x:v>0</x:v>
      </x:c>
      <x:c r="S384" t="n">
        <x:f>IF(AND(M384=1,J384&lt;&gt;"Ninguna"),1,0)</x:f>
        <x:v>0</x:v>
      </x:c>
    </x:row>
    <x:row r="385">
      <x:c r="A385" t="str">
        <x:v>PED-0384</x:v>
      </x:c>
      <x:c r="B385" s="12" t="n">
        <x:v>46222</x:v>
      </x:c>
      <x:c r="C385" t="str">
        <x:v>MetalNova</x:v>
      </x:c>
      <x:c r="D385" t="str">
        <x:v>Componentes mecánicos</x:v>
      </x:c>
      <x:c r="E385" s="10" t="n">
        <x:v>15015.29</x:v>
      </x:c>
      <x:c r="F385" s="12" t="n">
        <x:v>46231</x:v>
      </x:c>
      <x:c r="G385" s="12" t="n">
        <x:v>46233</x:v>
      </x:c>
      <x:c r="H385" t="n">
        <x:v>399</x:v>
      </x:c>
      <x:c r="I385" t="n">
        <x:v>0</x:v>
      </x:c>
      <x:c r="J385" t="str">
        <x:v>Ninguna</x:v>
      </x:c>
      <x:c r="K385" t="str">
        <x:v>No</x:v>
      </x:c>
      <x:c r="L385" t="str">
        <x:v>Barcelona</x:v>
      </x:c>
      <x:c r="M385" t="n">
        <x:f>IF(AND(B385&gt;=DATE(2026,7,1),B385&lt;=DATE(2026,9,30),G385&gt;=DATE(2026,7,1),G385&lt;=DATE(2026,9,30)),1,0)</x:f>
        <x:v>1</x:v>
      </x:c>
      <x:c r="N385" t="n">
        <x:f>IF(M385=1,IF(G385&lt;=F385,1,0),0)</x:f>
        <x:v>0</x:v>
      </x:c>
      <x:c r="O385" t="n">
        <x:f>IF(AND(M385=1,K385="Sí",G385&gt;F385),1,0)</x:f>
        <x:v>0</x:v>
      </x:c>
      <x:c r="P385" t="n">
        <x:f>IF(AND(M385=1,I385&gt;0),1,0)</x:f>
        <x:v>0</x:v>
      </x:c>
      <x:c r="Q385" t="n">
        <x:f>IF(AND(B385&gt;=DATE(2026,7,1),B385&lt;=DATE(2026,9,30),G385&gt;=DATE(2026,10,1),G385&lt;=DATE(2026,10,7)),1,0)</x:f>
        <x:v>0</x:v>
      </x:c>
      <x:c r="R385" t="n">
        <x:f>IF(AND(B385&gt;=DATE(2026,7,1),B385&lt;=DATE(2026,9,30),G385&gt;DATE(2026,10,7)),1,0)</x:f>
        <x:v>0</x:v>
      </x:c>
      <x:c r="S385" t="n">
        <x:f>IF(AND(M385=1,J385&lt;&gt;"Ninguna"),1,0)</x:f>
        <x:v>0</x:v>
      </x:c>
    </x:row>
    <x:row r="386">
      <x:c r="A386" t="str">
        <x:v>PED-0385</x:v>
      </x:c>
      <x:c r="B386" s="12" t="n">
        <x:v>46238</x:v>
      </x:c>
      <x:c r="C386" t="str">
        <x:v>MetalNova</x:v>
      </x:c>
      <x:c r="D386" t="str">
        <x:v>Componentes mecánicos</x:v>
      </x:c>
      <x:c r="E386" s="10" t="n">
        <x:v>1951.76</x:v>
      </x:c>
      <x:c r="F386" s="12" t="n">
        <x:v>46250</x:v>
      </x:c>
      <x:c r="G386" s="12" t="n">
        <x:v>46249</x:v>
      </x:c>
      <x:c r="H386" t="n">
        <x:v>101</x:v>
      </x:c>
      <x:c r="I386" t="n">
        <x:v>0</x:v>
      </x:c>
      <x:c r="J386" t="str">
        <x:v>Ninguna</x:v>
      </x:c>
      <x:c r="K386" t="str">
        <x:v>No</x:v>
      </x:c>
      <x:c r="L386" t="str">
        <x:v>Zaragoza</x:v>
      </x:c>
      <x:c r="M386" t="n">
        <x:f>IF(AND(B386&gt;=DATE(2026,7,1),B386&lt;=DATE(2026,9,30),G386&gt;=DATE(2026,7,1),G386&lt;=DATE(2026,9,30)),1,0)</x:f>
        <x:v>1</x:v>
      </x:c>
      <x:c r="N386" t="n">
        <x:f>IF(M386=1,IF(G386&lt;=F386,1,0),0)</x:f>
        <x:v>1</x:v>
      </x:c>
      <x:c r="O386" t="n">
        <x:f>IF(AND(M386=1,K386="Sí",G386&gt;F386),1,0)</x:f>
        <x:v>0</x:v>
      </x:c>
      <x:c r="P386" t="n">
        <x:f>IF(AND(M386=1,I386&gt;0),1,0)</x:f>
        <x:v>0</x:v>
      </x:c>
      <x:c r="Q386" t="n">
        <x:f>IF(AND(B386&gt;=DATE(2026,7,1),B386&lt;=DATE(2026,9,30),G386&gt;=DATE(2026,10,1),G386&lt;=DATE(2026,10,7)),1,0)</x:f>
        <x:v>0</x:v>
      </x:c>
      <x:c r="R386" t="n">
        <x:f>IF(AND(B386&gt;=DATE(2026,7,1),B386&lt;=DATE(2026,9,30),G386&gt;DATE(2026,10,7)),1,0)</x:f>
        <x:v>0</x:v>
      </x:c>
      <x:c r="S386" t="n">
        <x:f>IF(AND(M386=1,J386&lt;&gt;"Ninguna"),1,0)</x:f>
        <x:v>0</x:v>
      </x:c>
    </x:row>
    <x:row r="387">
      <x:c r="A387" t="str">
        <x:v>PED-0386</x:v>
      </x:c>
      <x:c r="B387" s="12" t="n">
        <x:v>46236</x:v>
      </x:c>
      <x:c r="C387" t="str">
        <x:v>MetalNova</x:v>
      </x:c>
      <x:c r="D387" t="str">
        <x:v>Materia prima</x:v>
      </x:c>
      <x:c r="E387" s="10" t="n">
        <x:v>437.13</x:v>
      </x:c>
      <x:c r="F387" s="12" t="n">
        <x:v>46246</x:v>
      </x:c>
      <x:c r="G387" s="12" t="n">
        <x:v>46247</x:v>
      </x:c>
      <x:c r="H387" t="n">
        <x:v>51</x:v>
      </x:c>
      <x:c r="I387" t="n">
        <x:v>0</x:v>
      </x:c>
      <x:c r="J387" t="str">
        <x:v>Ninguna</x:v>
      </x:c>
      <x:c r="K387" t="str">
        <x:v>Sí</x:v>
      </x:c>
      <x:c r="L387" t="str">
        <x:v>Valencia</x:v>
      </x:c>
      <x:c r="M387" t="n">
        <x:f>IF(AND(B387&gt;=DATE(2026,7,1),B387&lt;=DATE(2026,9,30),G387&gt;=DATE(2026,7,1),G387&lt;=DATE(2026,9,30)),1,0)</x:f>
        <x:v>1</x:v>
      </x:c>
      <x:c r="N387" t="n">
        <x:f>IF(M387=1,IF(G387&lt;=F387,1,0),0)</x:f>
        <x:v>0</x:v>
      </x:c>
      <x:c r="O387" t="n">
        <x:f>IF(AND(M387=1,K387="Sí",G387&gt;F387),1,0)</x:f>
        <x:v>1</x:v>
      </x:c>
      <x:c r="P387" t="n">
        <x:f>IF(AND(M387=1,I387&gt;0),1,0)</x:f>
        <x:v>0</x:v>
      </x:c>
      <x:c r="Q387" t="n">
        <x:f>IF(AND(B387&gt;=DATE(2026,7,1),B387&lt;=DATE(2026,9,30),G387&gt;=DATE(2026,10,1),G387&lt;=DATE(2026,10,7)),1,0)</x:f>
        <x:v>0</x:v>
      </x:c>
      <x:c r="R387" t="n">
        <x:f>IF(AND(B387&gt;=DATE(2026,7,1),B387&lt;=DATE(2026,9,30),G387&gt;DATE(2026,10,7)),1,0)</x:f>
        <x:v>0</x:v>
      </x:c>
      <x:c r="S387" t="n">
        <x:f>IF(AND(M387=1,J387&lt;&gt;"Ninguna"),1,0)</x:f>
        <x:v>0</x:v>
      </x:c>
    </x:row>
    <x:row r="388">
      <x:c r="A388" t="str">
        <x:v>PED-0387</x:v>
      </x:c>
      <x:c r="B388" s="12" t="n">
        <x:v>46273</x:v>
      </x:c>
      <x:c r="C388" t="str">
        <x:v>ElectraSupply</x:v>
      </x:c>
      <x:c r="D388" t="str">
        <x:v>Componentes eléctricos</x:v>
      </x:c>
      <x:c r="E388" s="10" t="n">
        <x:v>2963.73</x:v>
      </x:c>
      <x:c r="F388" s="12" t="n">
        <x:v>46284</x:v>
      </x:c>
      <x:c r="G388" s="12" t="n">
        <x:v>46288</x:v>
      </x:c>
      <x:c r="H388" t="n">
        <x:v>227</x:v>
      </x:c>
      <x:c r="I388" t="n">
        <x:v>0</x:v>
      </x:c>
      <x:c r="J388" t="str">
        <x:v>Ninguna</x:v>
      </x:c>
      <x:c r="K388" t="str">
        <x:v>No</x:v>
      </x:c>
      <x:c r="L388" t="str">
        <x:v>Valencia</x:v>
      </x:c>
      <x:c r="M388" t="n">
        <x:f>IF(AND(B388&gt;=DATE(2026,7,1),B388&lt;=DATE(2026,9,30),G388&gt;=DATE(2026,7,1),G388&lt;=DATE(2026,9,30)),1,0)</x:f>
        <x:v>1</x:v>
      </x:c>
      <x:c r="N388" t="n">
        <x:f>IF(M388=1,IF(G388&lt;=F388,1,0),0)</x:f>
        <x:v>0</x:v>
      </x:c>
      <x:c r="O388" t="n">
        <x:f>IF(AND(M388=1,K388="Sí",G388&gt;F388),1,0)</x:f>
        <x:v>0</x:v>
      </x:c>
      <x:c r="P388" t="n">
        <x:f>IF(AND(M388=1,I388&gt;0),1,0)</x:f>
        <x:v>0</x:v>
      </x:c>
      <x:c r="Q388" t="n">
        <x:f>IF(AND(B388&gt;=DATE(2026,7,1),B388&lt;=DATE(2026,9,30),G388&gt;=DATE(2026,10,1),G388&lt;=DATE(2026,10,7)),1,0)</x:f>
        <x:v>0</x:v>
      </x:c>
      <x:c r="R388" t="n">
        <x:f>IF(AND(B388&gt;=DATE(2026,7,1),B388&lt;=DATE(2026,9,30),G388&gt;DATE(2026,10,7)),1,0)</x:f>
        <x:v>0</x:v>
      </x:c>
      <x:c r="S388" t="n">
        <x:f>IF(AND(M388=1,J388&lt;&gt;"Ninguna"),1,0)</x:f>
        <x:v>0</x:v>
      </x:c>
    </x:row>
    <x:row r="389">
      <x:c r="A389" t="str">
        <x:v>PED-0388</x:v>
      </x:c>
      <x:c r="B389" s="12" t="n">
        <x:v>46243</x:v>
      </x:c>
      <x:c r="C389" t="str">
        <x:v>PackPro</x:v>
      </x:c>
      <x:c r="D389" t="str">
        <x:v>Embalaje</x:v>
      </x:c>
      <x:c r="E389" s="10" t="n">
        <x:v>2010.74</x:v>
      </x:c>
      <x:c r="F389" s="12" t="n">
        <x:v>46249</x:v>
      </x:c>
      <x:c r="G389" s="12" t="n">
        <x:v>46256</x:v>
      </x:c>
      <x:c r="H389" t="n">
        <x:v>50</x:v>
      </x:c>
      <x:c r="I389" t="n">
        <x:v>0</x:v>
      </x:c>
      <x:c r="J389" t="str">
        <x:v>Retraso</x:v>
      </x:c>
      <x:c r="K389" t="str">
        <x:v>No</x:v>
      </x:c>
      <x:c r="L389" t="str">
        <x:v>Barcelona</x:v>
      </x:c>
      <x:c r="M389" t="n">
        <x:f>IF(AND(B389&gt;=DATE(2026,7,1),B389&lt;=DATE(2026,9,30),G389&gt;=DATE(2026,7,1),G389&lt;=DATE(2026,9,30)),1,0)</x:f>
        <x:v>1</x:v>
      </x:c>
      <x:c r="N389" t="n">
        <x:f>IF(M389=1,IF(G389&lt;=F389,1,0),0)</x:f>
        <x:v>0</x:v>
      </x:c>
      <x:c r="O389" t="n">
        <x:f>IF(AND(M389=1,K389="Sí",G389&gt;F389),1,0)</x:f>
        <x:v>0</x:v>
      </x:c>
      <x:c r="P389" t="n">
        <x:f>IF(AND(M389=1,I389&gt;0),1,0)</x:f>
        <x:v>0</x:v>
      </x:c>
      <x:c r="Q389" t="n">
        <x:f>IF(AND(B389&gt;=DATE(2026,7,1),B389&lt;=DATE(2026,9,30),G389&gt;=DATE(2026,10,1),G389&lt;=DATE(2026,10,7)),1,0)</x:f>
        <x:v>0</x:v>
      </x:c>
      <x:c r="R389" t="n">
        <x:f>IF(AND(B389&gt;=DATE(2026,7,1),B389&lt;=DATE(2026,9,30),G389&gt;DATE(2026,10,7)),1,0)</x:f>
        <x:v>0</x:v>
      </x:c>
      <x:c r="S389" t="n">
        <x:f>IF(AND(M389=1,J389&lt;&gt;"Ninguna"),1,0)</x:f>
        <x:v>1</x:v>
      </x:c>
    </x:row>
    <x:row r="390">
      <x:c r="A390" t="str">
        <x:v>PED-0389</x:v>
      </x:c>
      <x:c r="B390" s="12" t="n">
        <x:v>46207</x:v>
      </x:c>
      <x:c r="C390" t="str">
        <x:v>MetalNova</x:v>
      </x:c>
      <x:c r="D390" t="str">
        <x:v>Materia prima</x:v>
      </x:c>
      <x:c r="E390" s="10" t="n">
        <x:v>2004.62</x:v>
      </x:c>
      <x:c r="F390" s="12" t="n">
        <x:v>46218</x:v>
      </x:c>
      <x:c r="G390" s="12" t="n">
        <x:v>46218</x:v>
      </x:c>
      <x:c r="H390" t="n">
        <x:v>164</x:v>
      </x:c>
      <x:c r="I390" t="n">
        <x:v>0</x:v>
      </x:c>
      <x:c r="J390" t="str">
        <x:v>Ninguna</x:v>
      </x:c>
      <x:c r="K390" t="str">
        <x:v>No</x:v>
      </x:c>
      <x:c r="L390" t="str">
        <x:v>Barcelona</x:v>
      </x:c>
      <x:c r="M390" t="n">
        <x:f>IF(AND(B390&gt;=DATE(2026,7,1),B390&lt;=DATE(2026,9,30),G390&gt;=DATE(2026,7,1),G390&lt;=DATE(2026,9,30)),1,0)</x:f>
        <x:v>1</x:v>
      </x:c>
      <x:c r="N390" t="n">
        <x:f>IF(M390=1,IF(G390&lt;=F390,1,0),0)</x:f>
        <x:v>1</x:v>
      </x:c>
      <x:c r="O390" t="n">
        <x:f>IF(AND(M390=1,K390="Sí",G390&gt;F390),1,0)</x:f>
        <x:v>0</x:v>
      </x:c>
      <x:c r="P390" t="n">
        <x:f>IF(AND(M390=1,I390&gt;0),1,0)</x:f>
        <x:v>0</x:v>
      </x:c>
      <x:c r="Q390" t="n">
        <x:f>IF(AND(B390&gt;=DATE(2026,7,1),B390&lt;=DATE(2026,9,30),G390&gt;=DATE(2026,10,1),G390&lt;=DATE(2026,10,7)),1,0)</x:f>
        <x:v>0</x:v>
      </x:c>
      <x:c r="R390" t="n">
        <x:f>IF(AND(B390&gt;=DATE(2026,7,1),B390&lt;=DATE(2026,9,30),G390&gt;DATE(2026,10,7)),1,0)</x:f>
        <x:v>0</x:v>
      </x:c>
      <x:c r="S390" t="n">
        <x:f>IF(AND(M390=1,J390&lt;&gt;"Ninguna"),1,0)</x:f>
        <x:v>0</x:v>
      </x:c>
    </x:row>
    <x:row r="391">
      <x:c r="A391" t="str">
        <x:v>PED-0390</x:v>
      </x:c>
      <x:c r="B391" s="12" t="n">
        <x:v>46247</x:v>
      </x:c>
      <x:c r="C391" t="str">
        <x:v>MecaParts</x:v>
      </x:c>
      <x:c r="D391" t="str">
        <x:v>Componentes mecánicos</x:v>
      </x:c>
      <x:c r="E391" s="10" t="n">
        <x:v>4854.95</x:v>
      </x:c>
      <x:c r="F391" s="12" t="n">
        <x:v>46255</x:v>
      </x:c>
      <x:c r="G391" s="12" t="n">
        <x:v>46253</x:v>
      </x:c>
      <x:c r="H391" t="n">
        <x:v>107</x:v>
      </x:c>
      <x:c r="I391" t="n">
        <x:v>0</x:v>
      </x:c>
      <x:c r="J391" t="str">
        <x:v>Ninguna</x:v>
      </x:c>
      <x:c r="K391" t="str">
        <x:v>No</x:v>
      </x:c>
      <x:c r="L391" t="str">
        <x:v>Barcelona</x:v>
      </x:c>
      <x:c r="M391" t="n">
        <x:f>IF(AND(B391&gt;=DATE(2026,7,1),B391&lt;=DATE(2026,9,30),G391&gt;=DATE(2026,7,1),G391&lt;=DATE(2026,9,30)),1,0)</x:f>
        <x:v>1</x:v>
      </x:c>
      <x:c r="N391" t="n">
        <x:f>IF(M391=1,IF(G391&lt;=F391,1,0),0)</x:f>
        <x:v>1</x:v>
      </x:c>
      <x:c r="O391" t="n">
        <x:f>IF(AND(M391=1,K391="Sí",G391&gt;F391),1,0)</x:f>
        <x:v>0</x:v>
      </x:c>
      <x:c r="P391" t="n">
        <x:f>IF(AND(M391=1,I391&gt;0),1,0)</x:f>
        <x:v>0</x:v>
      </x:c>
      <x:c r="Q391" t="n">
        <x:f>IF(AND(B391&gt;=DATE(2026,7,1),B391&lt;=DATE(2026,9,30),G391&gt;=DATE(2026,10,1),G391&lt;=DATE(2026,10,7)),1,0)</x:f>
        <x:v>0</x:v>
      </x:c>
      <x:c r="R391" t="n">
        <x:f>IF(AND(B391&gt;=DATE(2026,7,1),B391&lt;=DATE(2026,9,30),G391&gt;DATE(2026,10,7)),1,0)</x:f>
        <x:v>0</x:v>
      </x:c>
      <x:c r="S391" t="n">
        <x:f>IF(AND(M391=1,J391&lt;&gt;"Ninguna"),1,0)</x:f>
        <x:v>0</x:v>
      </x:c>
    </x:row>
    <x:row r="392">
      <x:c r="A392" t="str">
        <x:v>PED-0391</x:v>
      </x:c>
      <x:c r="B392" s="12" t="n">
        <x:v>46288</x:v>
      </x:c>
      <x:c r="C392" t="str">
        <x:v>MetalNova</x:v>
      </x:c>
      <x:c r="D392" t="str">
        <x:v>Materia prima</x:v>
      </x:c>
      <x:c r="E392" s="10" t="n">
        <x:v>2406.85</x:v>
      </x:c>
      <x:c r="F392" s="12" t="n">
        <x:v>46299</x:v>
      </x:c>
      <x:c r="G392" s="12" t="n">
        <x:v>46299</x:v>
      </x:c>
      <x:c r="H392" t="n">
        <x:v>188</x:v>
      </x:c>
      <x:c r="I392" t="n">
        <x:v>0</x:v>
      </x:c>
      <x:c r="J392" t="str">
        <x:v>Ninguna</x:v>
      </x:c>
      <x:c r="K392" t="str">
        <x:v>No</x:v>
      </x:c>
      <x:c r="L392" t="str">
        <x:v>Zaragoza</x:v>
      </x:c>
      <x:c r="M392" t="n">
        <x:f>IF(AND(B392&gt;=DATE(2026,7,1),B392&lt;=DATE(2026,9,30),G392&gt;=DATE(2026,7,1),G392&lt;=DATE(2026,9,30)),1,0)</x:f>
        <x:v>0</x:v>
      </x:c>
      <x:c r="N392" t="n">
        <x:f>IF(M392=1,IF(G392&lt;=F392,1,0),0)</x:f>
        <x:v>0</x:v>
      </x:c>
      <x:c r="O392" t="n">
        <x:f>IF(AND(M392=1,K392="Sí",G392&gt;F392),1,0)</x:f>
        <x:v>0</x:v>
      </x:c>
      <x:c r="P392" t="n">
        <x:f>IF(AND(M392=1,I392&gt;0),1,0)</x:f>
        <x:v>0</x:v>
      </x:c>
      <x:c r="Q392" t="n">
        <x:f>IF(AND(B392&gt;=DATE(2026,7,1),B392&lt;=DATE(2026,9,30),G392&gt;=DATE(2026,10,1),G392&lt;=DATE(2026,10,7)),1,0)</x:f>
        <x:v>1</x:v>
      </x:c>
      <x:c r="R392" t="n">
        <x:f>IF(AND(B392&gt;=DATE(2026,7,1),B392&lt;=DATE(2026,9,30),G392&gt;DATE(2026,10,7)),1,0)</x:f>
        <x:v>0</x:v>
      </x:c>
      <x:c r="S392" t="n">
        <x:f>IF(AND(M392=1,J392&lt;&gt;"Ninguna"),1,0)</x:f>
        <x:v>0</x:v>
      </x:c>
    </x:row>
    <x:row r="393">
      <x:c r="A393" t="str">
        <x:v>PED-0392</x:v>
      </x:c>
      <x:c r="B393" s="12" t="n">
        <x:v>46271</x:v>
      </x:c>
      <x:c r="C393" t="str">
        <x:v>PackPro</x:v>
      </x:c>
      <x:c r="D393" t="str">
        <x:v>Embalaje</x:v>
      </x:c>
      <x:c r="E393" s="10" t="n">
        <x:v>11731.5</x:v>
      </x:c>
      <x:c r="F393" s="12" t="n">
        <x:v>46277</x:v>
      </x:c>
      <x:c r="G393" s="12" t="n">
        <x:v>46277</x:v>
      </x:c>
      <x:c r="H393" t="n">
        <x:v>345</x:v>
      </x:c>
      <x:c r="I393" t="n">
        <x:v>0</x:v>
      </x:c>
      <x:c r="J393" t="str">
        <x:v>Ninguna</x:v>
      </x:c>
      <x:c r="K393" t="str">
        <x:v>No</x:v>
      </x:c>
      <x:c r="L393" t="str">
        <x:v>Valencia</x:v>
      </x:c>
      <x:c r="M393" t="n">
        <x:f>IF(AND(B393&gt;=DATE(2026,7,1),B393&lt;=DATE(2026,9,30),G393&gt;=DATE(2026,7,1),G393&lt;=DATE(2026,9,30)),1,0)</x:f>
        <x:v>1</x:v>
      </x:c>
      <x:c r="N393" t="n">
        <x:f>IF(M393=1,IF(G393&lt;=F393,1,0),0)</x:f>
        <x:v>1</x:v>
      </x:c>
      <x:c r="O393" t="n">
        <x:f>IF(AND(M393=1,K393="Sí",G393&gt;F393),1,0)</x:f>
        <x:v>0</x:v>
      </x:c>
      <x:c r="P393" t="n">
        <x:f>IF(AND(M393=1,I393&gt;0),1,0)</x:f>
        <x:v>0</x:v>
      </x:c>
      <x:c r="Q393" t="n">
        <x:f>IF(AND(B393&gt;=DATE(2026,7,1),B393&lt;=DATE(2026,9,30),G393&gt;=DATE(2026,10,1),G393&lt;=DATE(2026,10,7)),1,0)</x:f>
        <x:v>0</x:v>
      </x:c>
      <x:c r="R393" t="n">
        <x:f>IF(AND(B393&gt;=DATE(2026,7,1),B393&lt;=DATE(2026,9,30),G393&gt;DATE(2026,10,7)),1,0)</x:f>
        <x:v>0</x:v>
      </x:c>
      <x:c r="S393" t="n">
        <x:f>IF(AND(M393=1,J393&lt;&gt;"Ninguna"),1,0)</x:f>
        <x:v>0</x:v>
      </x:c>
    </x:row>
    <x:row r="394">
      <x:c r="A394" t="str">
        <x:v>PED-0393</x:v>
      </x:c>
      <x:c r="B394" s="12" t="n">
        <x:v>46240</x:v>
      </x:c>
      <x:c r="C394" t="str">
        <x:v>ElectraSupply</x:v>
      </x:c>
      <x:c r="D394" t="str">
        <x:v>Componentes eléctricos</x:v>
      </x:c>
      <x:c r="E394" s="10" t="n">
        <x:v>15651.95</x:v>
      </x:c>
      <x:c r="F394" s="12" t="n">
        <x:v>46251</x:v>
      </x:c>
      <x:c r="G394" s="12" t="n">
        <x:v>46255</x:v>
      </x:c>
      <x:c r="H394" t="n">
        <x:v>323</x:v>
      </x:c>
      <x:c r="I394" t="n">
        <x:v>0</x:v>
      </x:c>
      <x:c r="J394" t="str">
        <x:v>Ninguna</x:v>
      </x:c>
      <x:c r="K394" t="str">
        <x:v>No</x:v>
      </x:c>
      <x:c r="L394" t="str">
        <x:v>Zaragoza</x:v>
      </x:c>
      <x:c r="M394" t="n">
        <x:f>IF(AND(B394&gt;=DATE(2026,7,1),B394&lt;=DATE(2026,9,30),G394&gt;=DATE(2026,7,1),G394&lt;=DATE(2026,9,30)),1,0)</x:f>
        <x:v>1</x:v>
      </x:c>
      <x:c r="N394" t="n">
        <x:f>IF(M394=1,IF(G394&lt;=F394,1,0),0)</x:f>
        <x:v>0</x:v>
      </x:c>
      <x:c r="O394" t="n">
        <x:f>IF(AND(M394=1,K394="Sí",G394&gt;F394),1,0)</x:f>
        <x:v>0</x:v>
      </x:c>
      <x:c r="P394" t="n">
        <x:f>IF(AND(M394=1,I394&gt;0),1,0)</x:f>
        <x:v>0</x:v>
      </x:c>
      <x:c r="Q394" t="n">
        <x:f>IF(AND(B394&gt;=DATE(2026,7,1),B394&lt;=DATE(2026,9,30),G394&gt;=DATE(2026,10,1),G394&lt;=DATE(2026,10,7)),1,0)</x:f>
        <x:v>0</x:v>
      </x:c>
      <x:c r="R394" t="n">
        <x:f>IF(AND(B394&gt;=DATE(2026,7,1),B394&lt;=DATE(2026,9,30),G394&gt;DATE(2026,10,7)),1,0)</x:f>
        <x:v>0</x:v>
      </x:c>
      <x:c r="S394" t="n">
        <x:f>IF(AND(M394=1,J394&lt;&gt;"Ninguna"),1,0)</x:f>
        <x:v>0</x:v>
      </x:c>
    </x:row>
    <x:row r="395">
      <x:c r="A395" t="str">
        <x:v>PED-0394</x:v>
      </x:c>
      <x:c r="B395" s="12" t="n">
        <x:v>46232</x:v>
      </x:c>
      <x:c r="C395" t="str">
        <x:v>MecaParts</x:v>
      </x:c>
      <x:c r="D395" t="str">
        <x:v>Componentes mecánicos</x:v>
      </x:c>
      <x:c r="E395" s="10" t="n">
        <x:v>3856.98</x:v>
      </x:c>
      <x:c r="F395" s="12" t="n">
        <x:v>46243</x:v>
      </x:c>
      <x:c r="G395" s="12" t="n">
        <x:v>46242</x:v>
      </x:c>
      <x:c r="H395" t="n">
        <x:v>129</x:v>
      </x:c>
      <x:c r="I395" t="n">
        <x:v>0</x:v>
      </x:c>
      <x:c r="J395" t="str">
        <x:v>Ninguna</x:v>
      </x:c>
      <x:c r="K395" t="str">
        <x:v>No</x:v>
      </x:c>
      <x:c r="L395" t="str">
        <x:v>Valencia</x:v>
      </x:c>
      <x:c r="M395" t="n">
        <x:f>IF(AND(B395&gt;=DATE(2026,7,1),B395&lt;=DATE(2026,9,30),G395&gt;=DATE(2026,7,1),G395&lt;=DATE(2026,9,30)),1,0)</x:f>
        <x:v>1</x:v>
      </x:c>
      <x:c r="N395" t="n">
        <x:f>IF(M395=1,IF(G395&lt;=F395,1,0),0)</x:f>
        <x:v>1</x:v>
      </x:c>
      <x:c r="O395" t="n">
        <x:f>IF(AND(M395=1,K395="Sí",G395&gt;F395),1,0)</x:f>
        <x:v>0</x:v>
      </x:c>
      <x:c r="P395" t="n">
        <x:f>IF(AND(M395=1,I395&gt;0),1,0)</x:f>
        <x:v>0</x:v>
      </x:c>
      <x:c r="Q395" t="n">
        <x:f>IF(AND(B395&gt;=DATE(2026,7,1),B395&lt;=DATE(2026,9,30),G395&gt;=DATE(2026,10,1),G395&lt;=DATE(2026,10,7)),1,0)</x:f>
        <x:v>0</x:v>
      </x:c>
      <x:c r="R395" t="n">
        <x:f>IF(AND(B395&gt;=DATE(2026,7,1),B395&lt;=DATE(2026,9,30),G395&gt;DATE(2026,10,7)),1,0)</x:f>
        <x:v>0</x:v>
      </x:c>
      <x:c r="S395" t="n">
        <x:f>IF(AND(M395=1,J395&lt;&gt;"Ninguna"),1,0)</x:f>
        <x:v>0</x:v>
      </x:c>
    </x:row>
    <x:row r="396">
      <x:c r="A396" t="str">
        <x:v>PED-0395</x:v>
      </x:c>
      <x:c r="B396" s="12" t="n">
        <x:v>46207</x:v>
      </x:c>
      <x:c r="C396" t="str">
        <x:v>PackPro</x:v>
      </x:c>
      <x:c r="D396" t="str">
        <x:v>Embalaje</x:v>
      </x:c>
      <x:c r="E396" s="10" t="n">
        <x:v>9055.33</x:v>
      </x:c>
      <x:c r="F396" s="12" t="n">
        <x:v>46212</x:v>
      </x:c>
      <x:c r="G396" s="12" t="n">
        <x:v>46214</x:v>
      </x:c>
      <x:c r="H396" t="n">
        <x:v>338</x:v>
      </x:c>
      <x:c r="I396" t="n">
        <x:v>0</x:v>
      </x:c>
      <x:c r="J396" t="str">
        <x:v>Ninguna</x:v>
      </x:c>
      <x:c r="K396" t="str">
        <x:v>No</x:v>
      </x:c>
      <x:c r="L396" t="str">
        <x:v>Zaragoza</x:v>
      </x:c>
      <x:c r="M396" t="n">
        <x:f>IF(AND(B396&gt;=DATE(2026,7,1),B396&lt;=DATE(2026,9,30),G396&gt;=DATE(2026,7,1),G396&lt;=DATE(2026,9,30)),1,0)</x:f>
        <x:v>1</x:v>
      </x:c>
      <x:c r="N396" t="n">
        <x:f>IF(M396=1,IF(G396&lt;=F396,1,0),0)</x:f>
        <x:v>0</x:v>
      </x:c>
      <x:c r="O396" t="n">
        <x:f>IF(AND(M396=1,K396="Sí",G396&gt;F396),1,0)</x:f>
        <x:v>0</x:v>
      </x:c>
      <x:c r="P396" t="n">
        <x:f>IF(AND(M396=1,I396&gt;0),1,0)</x:f>
        <x:v>0</x:v>
      </x:c>
      <x:c r="Q396" t="n">
        <x:f>IF(AND(B396&gt;=DATE(2026,7,1),B396&lt;=DATE(2026,9,30),G396&gt;=DATE(2026,10,1),G396&lt;=DATE(2026,10,7)),1,0)</x:f>
        <x:v>0</x:v>
      </x:c>
      <x:c r="R396" t="n">
        <x:f>IF(AND(B396&gt;=DATE(2026,7,1),B396&lt;=DATE(2026,9,30),G396&gt;DATE(2026,10,7)),1,0)</x:f>
        <x:v>0</x:v>
      </x:c>
      <x:c r="S396" t="n">
        <x:f>IF(AND(M396=1,J396&lt;&gt;"Ninguna"),1,0)</x:f>
        <x:v>0</x:v>
      </x:c>
    </x:row>
    <x:row r="397">
      <x:c r="A397" t="str">
        <x:v>PED-0396</x:v>
      </x:c>
      <x:c r="B397" s="12" t="n">
        <x:v>46207</x:v>
      </x:c>
      <x:c r="C397" t="str">
        <x:v>ElectraSupply</x:v>
      </x:c>
      <x:c r="D397" t="str">
        <x:v>Componentes eléctricos</x:v>
      </x:c>
      <x:c r="E397" s="10" t="n">
        <x:v>3664.35</x:v>
      </x:c>
      <x:c r="F397" s="12" t="n">
        <x:v>46220</x:v>
      </x:c>
      <x:c r="G397" s="12" t="n">
        <x:v>46224</x:v>
      </x:c>
      <x:c r="H397" t="n">
        <x:v>235</x:v>
      </x:c>
      <x:c r="I397" t="n">
        <x:v>0</x:v>
      </x:c>
      <x:c r="J397" t="str">
        <x:v>Ninguna</x:v>
      </x:c>
      <x:c r="K397" t="str">
        <x:v>No</x:v>
      </x:c>
      <x:c r="L397" t="str">
        <x:v>Barcelona</x:v>
      </x:c>
      <x:c r="M397" t="n">
        <x:f>IF(AND(B397&gt;=DATE(2026,7,1),B397&lt;=DATE(2026,9,30),G397&gt;=DATE(2026,7,1),G397&lt;=DATE(2026,9,30)),1,0)</x:f>
        <x:v>1</x:v>
      </x:c>
      <x:c r="N397" t="n">
        <x:f>IF(M397=1,IF(G397&lt;=F397,1,0),0)</x:f>
        <x:v>0</x:v>
      </x:c>
      <x:c r="O397" t="n">
        <x:f>IF(AND(M397=1,K397="Sí",G397&gt;F397),1,0)</x:f>
        <x:v>0</x:v>
      </x:c>
      <x:c r="P397" t="n">
        <x:f>IF(AND(M397=1,I397&gt;0),1,0)</x:f>
        <x:v>0</x:v>
      </x:c>
      <x:c r="Q397" t="n">
        <x:f>IF(AND(B397&gt;=DATE(2026,7,1),B397&lt;=DATE(2026,9,30),G397&gt;=DATE(2026,10,1),G397&lt;=DATE(2026,10,7)),1,0)</x:f>
        <x:v>0</x:v>
      </x:c>
      <x:c r="R397" t="n">
        <x:f>IF(AND(B397&gt;=DATE(2026,7,1),B397&lt;=DATE(2026,9,30),G397&gt;DATE(2026,10,7)),1,0)</x:f>
        <x:v>0</x:v>
      </x:c>
      <x:c r="S397" t="n">
        <x:f>IF(AND(M397=1,J397&lt;&gt;"Ninguna"),1,0)</x:f>
        <x:v>0</x:v>
      </x:c>
    </x:row>
    <x:row r="398">
      <x:c r="A398" t="str">
        <x:v>PED-0397</x:v>
      </x:c>
      <x:c r="B398" s="12" t="n">
        <x:v>46205</x:v>
      </x:c>
      <x:c r="C398" t="str">
        <x:v>MecaParts</x:v>
      </x:c>
      <x:c r="D398" t="str">
        <x:v>Componentes mecánicos</x:v>
      </x:c>
      <x:c r="E398" s="10" t="n">
        <x:v>13816.89</x:v>
      </x:c>
      <x:c r="F398" s="12" t="n">
        <x:v>46214</x:v>
      </x:c>
      <x:c r="G398" s="12" t="n">
        <x:v>46219</x:v>
      </x:c>
      <x:c r="H398" t="n">
        <x:v>266</x:v>
      </x:c>
      <x:c r="I398" t="n">
        <x:v>0</x:v>
      </x:c>
      <x:c r="J398" t="str">
        <x:v>Retraso</x:v>
      </x:c>
      <x:c r="K398" t="str">
        <x:v>No</x:v>
      </x:c>
      <x:c r="L398" t="str">
        <x:v>Valencia</x:v>
      </x:c>
      <x:c r="M398" t="n">
        <x:f>IF(AND(B398&gt;=DATE(2026,7,1),B398&lt;=DATE(2026,9,30),G398&gt;=DATE(2026,7,1),G398&lt;=DATE(2026,9,30)),1,0)</x:f>
        <x:v>1</x:v>
      </x:c>
      <x:c r="N398" t="n">
        <x:f>IF(M398=1,IF(G398&lt;=F398,1,0),0)</x:f>
        <x:v>0</x:v>
      </x:c>
      <x:c r="O398" t="n">
        <x:f>IF(AND(M398=1,K398="Sí",G398&gt;F398),1,0)</x:f>
        <x:v>0</x:v>
      </x:c>
      <x:c r="P398" t="n">
        <x:f>IF(AND(M398=1,I398&gt;0),1,0)</x:f>
        <x:v>0</x:v>
      </x:c>
      <x:c r="Q398" t="n">
        <x:f>IF(AND(B398&gt;=DATE(2026,7,1),B398&lt;=DATE(2026,9,30),G398&gt;=DATE(2026,10,1),G398&lt;=DATE(2026,10,7)),1,0)</x:f>
        <x:v>0</x:v>
      </x:c>
      <x:c r="R398" t="n">
        <x:f>IF(AND(B398&gt;=DATE(2026,7,1),B398&lt;=DATE(2026,9,30),G398&gt;DATE(2026,10,7)),1,0)</x:f>
        <x:v>0</x:v>
      </x:c>
      <x:c r="S398" t="n">
        <x:f>IF(AND(M398=1,J398&lt;&gt;"Ninguna"),1,0)</x:f>
        <x:v>1</x:v>
      </x:c>
    </x:row>
    <x:row r="399">
      <x:c r="A399" t="str">
        <x:v>PED-0398</x:v>
      </x:c>
      <x:c r="B399" s="12" t="n">
        <x:v>46231</x:v>
      </x:c>
      <x:c r="C399" t="str">
        <x:v>PackPro</x:v>
      </x:c>
      <x:c r="D399" t="str">
        <x:v>Embalaje</x:v>
      </x:c>
      <x:c r="E399" s="10" t="n">
        <x:v>13037.46</x:v>
      </x:c>
      <x:c r="F399" s="12" t="n">
        <x:v>46238</x:v>
      </x:c>
      <x:c r="G399" s="12" t="n">
        <x:v>46236</x:v>
      </x:c>
      <x:c r="H399" t="n">
        <x:v>376</x:v>
      </x:c>
      <x:c r="I399" t="n">
        <x:v>0</x:v>
      </x:c>
      <x:c r="J399" t="str">
        <x:v>Ninguna</x:v>
      </x:c>
      <x:c r="K399" t="str">
        <x:v>No</x:v>
      </x:c>
      <x:c r="L399" t="str">
        <x:v>Barcelona</x:v>
      </x:c>
      <x:c r="M399" t="n">
        <x:f>IF(AND(B399&gt;=DATE(2026,7,1),B399&lt;=DATE(2026,9,30),G399&gt;=DATE(2026,7,1),G399&lt;=DATE(2026,9,30)),1,0)</x:f>
        <x:v>1</x:v>
      </x:c>
      <x:c r="N399" t="n">
        <x:f>IF(M399=1,IF(G399&lt;=F399,1,0),0)</x:f>
        <x:v>1</x:v>
      </x:c>
      <x:c r="O399" t="n">
        <x:f>IF(AND(M399=1,K399="Sí",G399&gt;F399),1,0)</x:f>
        <x:v>0</x:v>
      </x:c>
      <x:c r="P399" t="n">
        <x:f>IF(AND(M399=1,I399&gt;0),1,0)</x:f>
        <x:v>0</x:v>
      </x:c>
      <x:c r="Q399" t="n">
        <x:f>IF(AND(B399&gt;=DATE(2026,7,1),B399&lt;=DATE(2026,9,30),G399&gt;=DATE(2026,10,1),G399&lt;=DATE(2026,10,7)),1,0)</x:f>
        <x:v>0</x:v>
      </x:c>
      <x:c r="R399" t="n">
        <x:f>IF(AND(B399&gt;=DATE(2026,7,1),B399&lt;=DATE(2026,9,30),G399&gt;DATE(2026,10,7)),1,0)</x:f>
        <x:v>0</x:v>
      </x:c>
      <x:c r="S399" t="n">
        <x:f>IF(AND(M399=1,J399&lt;&gt;"Ninguna"),1,0)</x:f>
        <x:v>0</x:v>
      </x:c>
    </x:row>
    <x:row r="400">
      <x:c r="A400" t="str">
        <x:v>PED-0399</x:v>
      </x:c>
      <x:c r="B400" s="12" t="n">
        <x:v>46238</x:v>
      </x:c>
      <x:c r="C400" t="str">
        <x:v>ElectraSupply</x:v>
      </x:c>
      <x:c r="D400" t="str">
        <x:v>Componentes eléctricos</x:v>
      </x:c>
      <x:c r="E400" s="10" t="n">
        <x:v>15264.54</x:v>
      </x:c>
      <x:c r="F400" s="12" t="n">
        <x:v>46250</x:v>
      </x:c>
      <x:c r="G400" s="12" t="n">
        <x:v>46252</x:v>
      </x:c>
      <x:c r="H400" t="n">
        <x:v>363</x:v>
      </x:c>
      <x:c r="I400" t="n">
        <x:v>0</x:v>
      </x:c>
      <x:c r="J400" t="str">
        <x:v>Ninguna</x:v>
      </x:c>
      <x:c r="K400" t="str">
        <x:v>No</x:v>
      </x:c>
      <x:c r="L400" t="str">
        <x:v>Zaragoza</x:v>
      </x:c>
      <x:c r="M400" t="n">
        <x:f>IF(AND(B400&gt;=DATE(2026,7,1),B400&lt;=DATE(2026,9,30),G400&gt;=DATE(2026,7,1),G400&lt;=DATE(2026,9,30)),1,0)</x:f>
        <x:v>1</x:v>
      </x:c>
      <x:c r="N400" t="n">
        <x:f>IF(M400=1,IF(G400&lt;=F400,1,0),0)</x:f>
        <x:v>0</x:v>
      </x:c>
      <x:c r="O400" t="n">
        <x:f>IF(AND(M400=1,K400="Sí",G400&gt;F400),1,0)</x:f>
        <x:v>0</x:v>
      </x:c>
      <x:c r="P400" t="n">
        <x:f>IF(AND(M400=1,I400&gt;0),1,0)</x:f>
        <x:v>0</x:v>
      </x:c>
      <x:c r="Q400" t="n">
        <x:f>IF(AND(B400&gt;=DATE(2026,7,1),B400&lt;=DATE(2026,9,30),G400&gt;=DATE(2026,10,1),G400&lt;=DATE(2026,10,7)),1,0)</x:f>
        <x:v>0</x:v>
      </x:c>
      <x:c r="R400" t="n">
        <x:f>IF(AND(B400&gt;=DATE(2026,7,1),B400&lt;=DATE(2026,9,30),G400&gt;DATE(2026,10,7)),1,0)</x:f>
        <x:v>0</x:v>
      </x:c>
      <x:c r="S400" t="n">
        <x:f>IF(AND(M400=1,J400&lt;&gt;"Ninguna"),1,0)</x:f>
        <x:v>0</x:v>
      </x:c>
    </x:row>
    <x:row r="401">
      <x:c r="A401" t="str">
        <x:v>PED-0400</x:v>
      </x:c>
      <x:c r="B401" s="12" t="n">
        <x:v>46255</x:v>
      </x:c>
      <x:c r="C401" t="str">
        <x:v>MecaParts</x:v>
      </x:c>
      <x:c r="D401" t="str">
        <x:v>Componentes mecánicos</x:v>
      </x:c>
      <x:c r="E401" s="10" t="n">
        <x:v>4411.77</x:v>
      </x:c>
      <x:c r="F401" s="12" t="n">
        <x:v>46265</x:v>
      </x:c>
      <x:c r="G401" s="12" t="n">
        <x:v>46267</x:v>
      </x:c>
      <x:c r="H401" t="n">
        <x:v>297</x:v>
      </x:c>
      <x:c r="I401" t="n">
        <x:v>0</x:v>
      </x:c>
      <x:c r="J401" t="str">
        <x:v>Ninguna</x:v>
      </x:c>
      <x:c r="K401" t="str">
        <x:v>No</x:v>
      </x:c>
      <x:c r="L401" t="str">
        <x:v>Barcelona</x:v>
      </x:c>
      <x:c r="M401" t="n">
        <x:f>IF(AND(B401&gt;=DATE(2026,7,1),B401&lt;=DATE(2026,9,30),G401&gt;=DATE(2026,7,1),G401&lt;=DATE(2026,9,30)),1,0)</x:f>
        <x:v>1</x:v>
      </x:c>
      <x:c r="N401" t="n">
        <x:f>IF(M401=1,IF(G401&lt;=F401,1,0),0)</x:f>
        <x:v>0</x:v>
      </x:c>
      <x:c r="O401" t="n">
        <x:f>IF(AND(M401=1,K401="Sí",G401&gt;F401),1,0)</x:f>
        <x:v>0</x:v>
      </x:c>
      <x:c r="P401" t="n">
        <x:f>IF(AND(M401=1,I401&gt;0),1,0)</x:f>
        <x:v>0</x:v>
      </x:c>
      <x:c r="Q401" t="n">
        <x:f>IF(AND(B401&gt;=DATE(2026,7,1),B401&lt;=DATE(2026,9,30),G401&gt;=DATE(2026,10,1),G401&lt;=DATE(2026,10,7)),1,0)</x:f>
        <x:v>0</x:v>
      </x:c>
      <x:c r="R401" t="n">
        <x:f>IF(AND(B401&gt;=DATE(2026,7,1),B401&lt;=DATE(2026,9,30),G401&gt;DATE(2026,10,7)),1,0)</x:f>
        <x:v>0</x:v>
      </x:c>
      <x:c r="S401" t="n">
        <x:f>IF(AND(M401=1,J401&lt;&gt;"Ninguna"),1,0)</x:f>
        <x:v>0</x:v>
      </x:c>
    </x:row>
    <x:row r="402">
      <x:c r="A402" t="str">
        <x:v>PED-0401</x:v>
      </x:c>
      <x:c r="B402" s="12" t="n">
        <x:v>46286</x:v>
      </x:c>
      <x:c r="C402" t="str">
        <x:v>PackPro</x:v>
      </x:c>
      <x:c r="D402" t="str">
        <x:v>Embalaje</x:v>
      </x:c>
      <x:c r="E402" s="10" t="n">
        <x:v>13739.35</x:v>
      </x:c>
      <x:c r="F402" s="12" t="n">
        <x:v>46293</x:v>
      </x:c>
      <x:c r="G402" s="12" t="n">
        <x:v>46296</x:v>
      </x:c>
      <x:c r="H402" t="n">
        <x:v>276</x:v>
      </x:c>
      <x:c r="I402" t="n">
        <x:v>0</x:v>
      </x:c>
      <x:c r="J402" t="str">
        <x:v>Cantidad incorrecta</x:v>
      </x:c>
      <x:c r="K402" t="str">
        <x:v>No</x:v>
      </x:c>
      <x:c r="L402" t="str">
        <x:v>Barcelona</x:v>
      </x:c>
      <x:c r="M402" t="n">
        <x:f>IF(AND(B402&gt;=DATE(2026,7,1),B402&lt;=DATE(2026,9,30),G402&gt;=DATE(2026,7,1),G402&lt;=DATE(2026,9,30)),1,0)</x:f>
        <x:v>0</x:v>
      </x:c>
      <x:c r="N402" t="n">
        <x:f>IF(M402=1,IF(G402&lt;=F402,1,0),0)</x:f>
        <x:v>0</x:v>
      </x:c>
      <x:c r="O402" t="n">
        <x:f>IF(AND(M402=1,K402="Sí",G402&gt;F402),1,0)</x:f>
        <x:v>0</x:v>
      </x:c>
      <x:c r="P402" t="n">
        <x:f>IF(AND(M402=1,I402&gt;0),1,0)</x:f>
        <x:v>0</x:v>
      </x:c>
      <x:c r="Q402" t="n">
        <x:f>IF(AND(B402&gt;=DATE(2026,7,1),B402&lt;=DATE(2026,9,30),G402&gt;=DATE(2026,10,1),G402&lt;=DATE(2026,10,7)),1,0)</x:f>
        <x:v>1</x:v>
      </x:c>
      <x:c r="R402" t="n">
        <x:f>IF(AND(B402&gt;=DATE(2026,7,1),B402&lt;=DATE(2026,9,30),G402&gt;DATE(2026,10,7)),1,0)</x:f>
        <x:v>0</x:v>
      </x:c>
      <x:c r="S402" t="n">
        <x:f>IF(AND(M402=1,J402&lt;&gt;"Ninguna"),1,0)</x:f>
        <x:v>0</x:v>
      </x:c>
    </x:row>
    <x:row r="403">
      <x:c r="A403" t="str">
        <x:v>PED-0402</x:v>
      </x:c>
      <x:c r="B403" s="12" t="n">
        <x:v>46264</x:v>
      </x:c>
      <x:c r="C403" t="str">
        <x:v>ElectraSupply</x:v>
      </x:c>
      <x:c r="D403" t="str">
        <x:v>Componentes eléctricos</x:v>
      </x:c>
      <x:c r="E403" s="10" t="n">
        <x:v>2148.69</x:v>
      </x:c>
      <x:c r="F403" s="12" t="n">
        <x:v>46276</x:v>
      </x:c>
      <x:c r="G403" s="12" t="n">
        <x:v>46279</x:v>
      </x:c>
      <x:c r="H403" t="n">
        <x:v>79</x:v>
      </x:c>
      <x:c r="I403" t="n">
        <x:v>0</x:v>
      </x:c>
      <x:c r="J403" t="str">
        <x:v>Ninguna</x:v>
      </x:c>
      <x:c r="K403" t="str">
        <x:v>Sí</x:v>
      </x:c>
      <x:c r="L403" t="str">
        <x:v>Barcelona</x:v>
      </x:c>
      <x:c r="M403" t="n">
        <x:f>IF(AND(B403&gt;=DATE(2026,7,1),B403&lt;=DATE(2026,9,30),G403&gt;=DATE(2026,7,1),G403&lt;=DATE(2026,9,30)),1,0)</x:f>
        <x:v>1</x:v>
      </x:c>
      <x:c r="N403" t="n">
        <x:f>IF(M403=1,IF(G403&lt;=F403,1,0),0)</x:f>
        <x:v>0</x:v>
      </x:c>
      <x:c r="O403" t="n">
        <x:f>IF(AND(M403=1,K403="Sí",G403&gt;F403),1,0)</x:f>
        <x:v>1</x:v>
      </x:c>
      <x:c r="P403" t="n">
        <x:f>IF(AND(M403=1,I403&gt;0),1,0)</x:f>
        <x:v>0</x:v>
      </x:c>
      <x:c r="Q403" t="n">
        <x:f>IF(AND(B403&gt;=DATE(2026,7,1),B403&lt;=DATE(2026,9,30),G403&gt;=DATE(2026,10,1),G403&lt;=DATE(2026,10,7)),1,0)</x:f>
        <x:v>0</x:v>
      </x:c>
      <x:c r="R403" t="n">
        <x:f>IF(AND(B403&gt;=DATE(2026,7,1),B403&lt;=DATE(2026,9,30),G403&gt;DATE(2026,10,7)),1,0)</x:f>
        <x:v>0</x:v>
      </x:c>
      <x:c r="S403" t="n">
        <x:f>IF(AND(M403=1,J403&lt;&gt;"Ninguna"),1,0)</x:f>
        <x:v>0</x:v>
      </x:c>
    </x:row>
    <x:row r="404">
      <x:c r="A404" t="str">
        <x:v>PED-0403</x:v>
      </x:c>
      <x:c r="B404" s="12" t="n">
        <x:v>46240</x:v>
      </x:c>
      <x:c r="C404" t="str">
        <x:v>MecaParts</x:v>
      </x:c>
      <x:c r="D404" t="str">
        <x:v>Componentes mecánicos</x:v>
      </x:c>
      <x:c r="E404" s="10" t="n">
        <x:v>957.26</x:v>
      </x:c>
      <x:c r="F404" s="12" t="n">
        <x:v>46249</x:v>
      </x:c>
      <x:c r="G404" s="12" t="n">
        <x:v>46248</x:v>
      </x:c>
      <x:c r="H404" t="n">
        <x:v>34</x:v>
      </x:c>
      <x:c r="I404" t="n">
        <x:v>0</x:v>
      </x:c>
      <x:c r="J404" t="str">
        <x:v>Ninguna</x:v>
      </x:c>
      <x:c r="K404" t="str">
        <x:v>No</x:v>
      </x:c>
      <x:c r="L404" t="str">
        <x:v>Valencia</x:v>
      </x:c>
      <x:c r="M404" t="n">
        <x:f>IF(AND(B404&gt;=DATE(2026,7,1),B404&lt;=DATE(2026,9,30),G404&gt;=DATE(2026,7,1),G404&lt;=DATE(2026,9,30)),1,0)</x:f>
        <x:v>1</x:v>
      </x:c>
      <x:c r="N404" t="n">
        <x:f>IF(M404=1,IF(G404&lt;=F404,1,0),0)</x:f>
        <x:v>1</x:v>
      </x:c>
      <x:c r="O404" t="n">
        <x:f>IF(AND(M404=1,K404="Sí",G404&gt;F404),1,0)</x:f>
        <x:v>0</x:v>
      </x:c>
      <x:c r="P404" t="n">
        <x:f>IF(AND(M404=1,I404&gt;0),1,0)</x:f>
        <x:v>0</x:v>
      </x:c>
      <x:c r="Q404" t="n">
        <x:f>IF(AND(B404&gt;=DATE(2026,7,1),B404&lt;=DATE(2026,9,30),G404&gt;=DATE(2026,10,1),G404&lt;=DATE(2026,10,7)),1,0)</x:f>
        <x:v>0</x:v>
      </x:c>
      <x:c r="R404" t="n">
        <x:f>IF(AND(B404&gt;=DATE(2026,7,1),B404&lt;=DATE(2026,9,30),G404&gt;DATE(2026,10,7)),1,0)</x:f>
        <x:v>0</x:v>
      </x:c>
      <x:c r="S404" t="n">
        <x:f>IF(AND(M404=1,J404&lt;&gt;"Ninguna"),1,0)</x:f>
        <x:v>0</x:v>
      </x:c>
    </x:row>
    <x:row r="405">
      <x:c r="A405" t="str">
        <x:v>PED-0404</x:v>
      </x:c>
      <x:c r="B405" s="12" t="n">
        <x:v>46240</x:v>
      </x:c>
      <x:c r="C405" t="str">
        <x:v>MetalNova</x:v>
      </x:c>
      <x:c r="D405" t="str">
        <x:v>Materia prima</x:v>
      </x:c>
      <x:c r="E405" s="10" t="n">
        <x:v>1726.98</x:v>
      </x:c>
      <x:c r="F405" s="12" t="n">
        <x:v>46250</x:v>
      </x:c>
      <x:c r="G405" s="12" t="n">
        <x:v>46253</x:v>
      </x:c>
      <x:c r="H405" t="n">
        <x:v>209</x:v>
      </x:c>
      <x:c r="I405" t="n">
        <x:v>0</x:v>
      </x:c>
      <x:c r="J405" t="str">
        <x:v>Ninguna</x:v>
      </x:c>
      <x:c r="K405" t="str">
        <x:v>No</x:v>
      </x:c>
      <x:c r="L405" t="str">
        <x:v>Barcelona</x:v>
      </x:c>
      <x:c r="M405" t="n">
        <x:f>IF(AND(B405&gt;=DATE(2026,7,1),B405&lt;=DATE(2026,9,30),G405&gt;=DATE(2026,7,1),G405&lt;=DATE(2026,9,30)),1,0)</x:f>
        <x:v>1</x:v>
      </x:c>
      <x:c r="N405" t="n">
        <x:f>IF(M405=1,IF(G405&lt;=F405,1,0),0)</x:f>
        <x:v>0</x:v>
      </x:c>
      <x:c r="O405" t="n">
        <x:f>IF(AND(M405=1,K405="Sí",G405&gt;F405),1,0)</x:f>
        <x:v>0</x:v>
      </x:c>
      <x:c r="P405" t="n">
        <x:f>IF(AND(M405=1,I405&gt;0),1,0)</x:f>
        <x:v>0</x:v>
      </x:c>
      <x:c r="Q405" t="n">
        <x:f>IF(AND(B405&gt;=DATE(2026,7,1),B405&lt;=DATE(2026,9,30),G405&gt;=DATE(2026,10,1),G405&lt;=DATE(2026,10,7)),1,0)</x:f>
        <x:v>0</x:v>
      </x:c>
      <x:c r="R405" t="n">
        <x:f>IF(AND(B405&gt;=DATE(2026,7,1),B405&lt;=DATE(2026,9,30),G405&gt;DATE(2026,10,7)),1,0)</x:f>
        <x:v>0</x:v>
      </x:c>
      <x:c r="S405" t="n">
        <x:f>IF(AND(M405=1,J405&lt;&gt;"Ninguna"),1,0)</x:f>
        <x:v>0</x:v>
      </x:c>
    </x:row>
    <x:row r="406">
      <x:c r="A406" t="str">
        <x:v>PED-0405</x:v>
      </x:c>
      <x:c r="B406" s="12" t="n">
        <x:v>46253</x:v>
      </x:c>
      <x:c r="C406" t="str">
        <x:v>MetalNova</x:v>
      </x:c>
      <x:c r="D406" t="str">
        <x:v>Componentes mecánicos</x:v>
      </x:c>
      <x:c r="E406" s="10" t="n">
        <x:v>2194.59</x:v>
      </x:c>
      <x:c r="F406" s="12" t="n">
        <x:v>46262</x:v>
      </x:c>
      <x:c r="G406" s="12" t="n">
        <x:v>46264</x:v>
      </x:c>
      <x:c r="H406" t="n">
        <x:v>258</x:v>
      </x:c>
      <x:c r="I406" t="n">
        <x:v>10</x:v>
      </x:c>
      <x:c r="J406" t="str">
        <x:v>Documentación</x:v>
      </x:c>
      <x:c r="K406" t="str">
        <x:v>Sí</x:v>
      </x:c>
      <x:c r="L406" t="str">
        <x:v>Valencia</x:v>
      </x:c>
      <x:c r="M406" t="n">
        <x:f>IF(AND(B406&gt;=DATE(2026,7,1),B406&lt;=DATE(2026,9,30),G406&gt;=DATE(2026,7,1),G406&lt;=DATE(2026,9,30)),1,0)</x:f>
        <x:v>1</x:v>
      </x:c>
      <x:c r="N406" t="n">
        <x:f>IF(M406=1,IF(G406&lt;=F406,1,0),0)</x:f>
        <x:v>0</x:v>
      </x:c>
      <x:c r="O406" t="n">
        <x:f>IF(AND(M406=1,K406="Sí",G406&gt;F406),1,0)</x:f>
        <x:v>1</x:v>
      </x:c>
      <x:c r="P406" t="n">
        <x:f>IF(AND(M406=1,I406&gt;0),1,0)</x:f>
        <x:v>1</x:v>
      </x:c>
      <x:c r="Q406" t="n">
        <x:f>IF(AND(B406&gt;=DATE(2026,7,1),B406&lt;=DATE(2026,9,30),G406&gt;=DATE(2026,10,1),G406&lt;=DATE(2026,10,7)),1,0)</x:f>
        <x:v>0</x:v>
      </x:c>
      <x:c r="R406" t="n">
        <x:f>IF(AND(B406&gt;=DATE(2026,7,1),B406&lt;=DATE(2026,9,30),G406&gt;DATE(2026,10,7)),1,0)</x:f>
        <x:v>0</x:v>
      </x:c>
      <x:c r="S406" t="n">
        <x:f>IF(AND(M406=1,J406&lt;&gt;"Ninguna"),1,0)</x:f>
        <x:v>1</x:v>
      </x:c>
    </x:row>
    <x:row r="407">
      <x:c r="A407" t="str">
        <x:v>PED-0406</x:v>
      </x:c>
      <x:c r="B407" s="12" t="n">
        <x:v>46213</x:v>
      </x:c>
      <x:c r="C407" t="str">
        <x:v>PackPro</x:v>
      </x:c>
      <x:c r="D407" t="str">
        <x:v>Embalaje</x:v>
      </x:c>
      <x:c r="E407" s="10" t="n">
        <x:v>1424.77</x:v>
      </x:c>
      <x:c r="F407" s="12" t="n">
        <x:v>46219</x:v>
      </x:c>
      <x:c r="G407" s="12" t="n">
        <x:v>46232</x:v>
      </x:c>
      <x:c r="H407" t="n">
        <x:v>239</x:v>
      </x:c>
      <x:c r="I407" t="n">
        <x:v>0</x:v>
      </x:c>
      <x:c r="J407" t="str">
        <x:v>Retraso</x:v>
      </x:c>
      <x:c r="K407" t="str">
        <x:v>No</x:v>
      </x:c>
      <x:c r="L407" t="str">
        <x:v>Zaragoza</x:v>
      </x:c>
      <x:c r="M407" t="n">
        <x:f>IF(AND(B407&gt;=DATE(2026,7,1),B407&lt;=DATE(2026,9,30),G407&gt;=DATE(2026,7,1),G407&lt;=DATE(2026,9,30)),1,0)</x:f>
        <x:v>1</x:v>
      </x:c>
      <x:c r="N407" t="n">
        <x:f>IF(M407=1,IF(G407&lt;=F407,1,0),0)</x:f>
        <x:v>0</x:v>
      </x:c>
      <x:c r="O407" t="n">
        <x:f>IF(AND(M407=1,K407="Sí",G407&gt;F407),1,0)</x:f>
        <x:v>0</x:v>
      </x:c>
      <x:c r="P407" t="n">
        <x:f>IF(AND(M407=1,I407&gt;0),1,0)</x:f>
        <x:v>0</x:v>
      </x:c>
      <x:c r="Q407" t="n">
        <x:f>IF(AND(B407&gt;=DATE(2026,7,1),B407&lt;=DATE(2026,9,30),G407&gt;=DATE(2026,10,1),G407&lt;=DATE(2026,10,7)),1,0)</x:f>
        <x:v>0</x:v>
      </x:c>
      <x:c r="R407" t="n">
        <x:f>IF(AND(B407&gt;=DATE(2026,7,1),B407&lt;=DATE(2026,9,30),G407&gt;DATE(2026,10,7)),1,0)</x:f>
        <x:v>0</x:v>
      </x:c>
      <x:c r="S407" t="n">
        <x:f>IF(AND(M407=1,J407&lt;&gt;"Ninguna"),1,0)</x:f>
        <x:v>1</x:v>
      </x:c>
    </x:row>
    <x:row r="408">
      <x:c r="A408" t="str">
        <x:v>PED-0407</x:v>
      </x:c>
      <x:c r="B408" s="12" t="n">
        <x:v>46252</x:v>
      </x:c>
      <x:c r="C408" t="str">
        <x:v>PackPro</x:v>
      </x:c>
      <x:c r="D408" t="str">
        <x:v>Embalaje</x:v>
      </x:c>
      <x:c r="E408" s="10" t="n">
        <x:v>1205.14</x:v>
      </x:c>
      <x:c r="F408" s="12" t="n">
        <x:v>46260</x:v>
      </x:c>
      <x:c r="G408" s="12" t="n">
        <x:v>46260</x:v>
      </x:c>
      <x:c r="H408" t="n">
        <x:v>131</x:v>
      </x:c>
      <x:c r="I408" t="n">
        <x:v>0</x:v>
      </x:c>
      <x:c r="J408" t="str">
        <x:v>Ninguna</x:v>
      </x:c>
      <x:c r="K408" t="str">
        <x:v>No</x:v>
      </x:c>
      <x:c r="L408" t="str">
        <x:v>Zaragoza</x:v>
      </x:c>
      <x:c r="M408" t="n">
        <x:f>IF(AND(B408&gt;=DATE(2026,7,1),B408&lt;=DATE(2026,9,30),G408&gt;=DATE(2026,7,1),G408&lt;=DATE(2026,9,30)),1,0)</x:f>
        <x:v>1</x:v>
      </x:c>
      <x:c r="N408" t="n">
        <x:f>IF(M408=1,IF(G408&lt;=F408,1,0),0)</x:f>
        <x:v>1</x:v>
      </x:c>
      <x:c r="O408" t="n">
        <x:f>IF(AND(M408=1,K408="Sí",G408&gt;F408),1,0)</x:f>
        <x:v>0</x:v>
      </x:c>
      <x:c r="P408" t="n">
        <x:f>IF(AND(M408=1,I408&gt;0),1,0)</x:f>
        <x:v>0</x:v>
      </x:c>
      <x:c r="Q408" t="n">
        <x:f>IF(AND(B408&gt;=DATE(2026,7,1),B408&lt;=DATE(2026,9,30),G408&gt;=DATE(2026,10,1),G408&lt;=DATE(2026,10,7)),1,0)</x:f>
        <x:v>0</x:v>
      </x:c>
      <x:c r="R408" t="n">
        <x:f>IF(AND(B408&gt;=DATE(2026,7,1),B408&lt;=DATE(2026,9,30),G408&gt;DATE(2026,10,7)),1,0)</x:f>
        <x:v>0</x:v>
      </x:c>
      <x:c r="S408" t="n">
        <x:f>IF(AND(M408=1,J408&lt;&gt;"Ninguna"),1,0)</x:f>
        <x:v>0</x:v>
      </x:c>
    </x:row>
    <x:row r="409">
      <x:c r="A409" t="str">
        <x:v>PED-0408</x:v>
      </x:c>
      <x:c r="B409" s="12" t="n">
        <x:v>46242</x:v>
      </x:c>
      <x:c r="C409" t="str">
        <x:v>ElectraSupply</x:v>
      </x:c>
      <x:c r="D409" t="str">
        <x:v>Componentes eléctricos</x:v>
      </x:c>
      <x:c r="E409" s="10" t="n">
        <x:v>2652.98</x:v>
      </x:c>
      <x:c r="F409" s="12" t="n">
        <x:v>46256</x:v>
      </x:c>
      <x:c r="G409" s="12" t="n">
        <x:v>46262</x:v>
      </x:c>
      <x:c r="H409" t="n">
        <x:v>285</x:v>
      </x:c>
      <x:c r="I409" t="n">
        <x:v>0</x:v>
      </x:c>
      <x:c r="J409" t="str">
        <x:v>Ninguna</x:v>
      </x:c>
      <x:c r="K409" t="str">
        <x:v>Sí</x:v>
      </x:c>
      <x:c r="L409" t="str">
        <x:v>Zaragoza</x:v>
      </x:c>
      <x:c r="M409" t="n">
        <x:f>IF(AND(B409&gt;=DATE(2026,7,1),B409&lt;=DATE(2026,9,30),G409&gt;=DATE(2026,7,1),G409&lt;=DATE(2026,9,30)),1,0)</x:f>
        <x:v>1</x:v>
      </x:c>
      <x:c r="N409" t="n">
        <x:f>IF(M409=1,IF(G409&lt;=F409,1,0),0)</x:f>
        <x:v>0</x:v>
      </x:c>
      <x:c r="O409" t="n">
        <x:f>IF(AND(M409=1,K409="Sí",G409&gt;F409),1,0)</x:f>
        <x:v>1</x:v>
      </x:c>
      <x:c r="P409" t="n">
        <x:f>IF(AND(M409=1,I409&gt;0),1,0)</x:f>
        <x:v>0</x:v>
      </x:c>
      <x:c r="Q409" t="n">
        <x:f>IF(AND(B409&gt;=DATE(2026,7,1),B409&lt;=DATE(2026,9,30),G409&gt;=DATE(2026,10,1),G409&lt;=DATE(2026,10,7)),1,0)</x:f>
        <x:v>0</x:v>
      </x:c>
      <x:c r="R409" t="n">
        <x:f>IF(AND(B409&gt;=DATE(2026,7,1),B409&lt;=DATE(2026,9,30),G409&gt;DATE(2026,10,7)),1,0)</x:f>
        <x:v>0</x:v>
      </x:c>
      <x:c r="S409" t="n">
        <x:f>IF(AND(M409=1,J409&lt;&gt;"Ninguna"),1,0)</x:f>
        <x:v>0</x:v>
      </x:c>
    </x:row>
    <x:row r="410">
      <x:c r="A410" t="str">
        <x:v>PED-0409</x:v>
      </x:c>
      <x:c r="B410" s="12" t="n">
        <x:v>46217</x:v>
      </x:c>
      <x:c r="C410" t="str">
        <x:v>ElectraSupply</x:v>
      </x:c>
      <x:c r="D410" t="str">
        <x:v>Componentes eléctricos</x:v>
      </x:c>
      <x:c r="E410" s="10" t="n">
        <x:v>11096.44</x:v>
      </x:c>
      <x:c r="F410" s="12" t="n">
        <x:v>46228</x:v>
      </x:c>
      <x:c r="G410" s="12" t="n">
        <x:v>46228</x:v>
      </x:c>
      <x:c r="H410" t="n">
        <x:v>368</x:v>
      </x:c>
      <x:c r="I410" t="n">
        <x:v>0</x:v>
      </x:c>
      <x:c r="J410" t="str">
        <x:v>Ninguna</x:v>
      </x:c>
      <x:c r="K410" t="str">
        <x:v>No</x:v>
      </x:c>
      <x:c r="L410" t="str">
        <x:v>Barcelona</x:v>
      </x:c>
      <x:c r="M410" t="n">
        <x:f>IF(AND(B410&gt;=DATE(2026,7,1),B410&lt;=DATE(2026,9,30),G410&gt;=DATE(2026,7,1),G410&lt;=DATE(2026,9,30)),1,0)</x:f>
        <x:v>1</x:v>
      </x:c>
      <x:c r="N410" t="n">
        <x:f>IF(M410=1,IF(G410&lt;=F410,1,0),0)</x:f>
        <x:v>1</x:v>
      </x:c>
      <x:c r="O410" t="n">
        <x:f>IF(AND(M410=1,K410="Sí",G410&gt;F410),1,0)</x:f>
        <x:v>0</x:v>
      </x:c>
      <x:c r="P410" t="n">
        <x:f>IF(AND(M410=1,I410&gt;0),1,0)</x:f>
        <x:v>0</x:v>
      </x:c>
      <x:c r="Q410" t="n">
        <x:f>IF(AND(B410&gt;=DATE(2026,7,1),B410&lt;=DATE(2026,9,30),G410&gt;=DATE(2026,10,1),G410&lt;=DATE(2026,10,7)),1,0)</x:f>
        <x:v>0</x:v>
      </x:c>
      <x:c r="R410" t="n">
        <x:f>IF(AND(B410&gt;=DATE(2026,7,1),B410&lt;=DATE(2026,9,30),G410&gt;DATE(2026,10,7)),1,0)</x:f>
        <x:v>0</x:v>
      </x:c>
      <x:c r="S410" t="n">
        <x:f>IF(AND(M410=1,J410&lt;&gt;"Ninguna"),1,0)</x:f>
        <x:v>0</x:v>
      </x:c>
    </x:row>
    <x:row r="411">
      <x:c r="A411" t="str">
        <x:v>PED-0410</x:v>
      </x:c>
      <x:c r="B411" s="12" t="n">
        <x:v>46212</x:v>
      </x:c>
      <x:c r="C411" t="str">
        <x:v>MecaParts</x:v>
      </x:c>
      <x:c r="D411" t="str">
        <x:v>Componentes mecánicos</x:v>
      </x:c>
      <x:c r="E411" s="10" t="n">
        <x:v>2739.36</x:v>
      </x:c>
      <x:c r="F411" s="12" t="n">
        <x:v>46221</x:v>
      </x:c>
      <x:c r="G411" s="12" t="n">
        <x:v>46221</x:v>
      </x:c>
      <x:c r="H411" t="n">
        <x:v>112</x:v>
      </x:c>
      <x:c r="I411" t="n">
        <x:v>0</x:v>
      </x:c>
      <x:c r="J411" t="str">
        <x:v>Ninguna</x:v>
      </x:c>
      <x:c r="K411" t="str">
        <x:v>No</x:v>
      </x:c>
      <x:c r="L411" t="str">
        <x:v>Zaragoza</x:v>
      </x:c>
      <x:c r="M411" t="n">
        <x:f>IF(AND(B411&gt;=DATE(2026,7,1),B411&lt;=DATE(2026,9,30),G411&gt;=DATE(2026,7,1),G411&lt;=DATE(2026,9,30)),1,0)</x:f>
        <x:v>1</x:v>
      </x:c>
      <x:c r="N411" t="n">
        <x:f>IF(M411=1,IF(G411&lt;=F411,1,0),0)</x:f>
        <x:v>1</x:v>
      </x:c>
      <x:c r="O411" t="n">
        <x:f>IF(AND(M411=1,K411="Sí",G411&gt;F411),1,0)</x:f>
        <x:v>0</x:v>
      </x:c>
      <x:c r="P411" t="n">
        <x:f>IF(AND(M411=1,I411&gt;0),1,0)</x:f>
        <x:v>0</x:v>
      </x:c>
      <x:c r="Q411" t="n">
        <x:f>IF(AND(B411&gt;=DATE(2026,7,1),B411&lt;=DATE(2026,9,30),G411&gt;=DATE(2026,10,1),G411&lt;=DATE(2026,10,7)),1,0)</x:f>
        <x:v>0</x:v>
      </x:c>
      <x:c r="R411" t="n">
        <x:f>IF(AND(B411&gt;=DATE(2026,7,1),B411&lt;=DATE(2026,9,30),G411&gt;DATE(2026,10,7)),1,0)</x:f>
        <x:v>0</x:v>
      </x:c>
      <x:c r="S411" t="n">
        <x:f>IF(AND(M411=1,J411&lt;&gt;"Ninguna"),1,0)</x:f>
        <x:v>0</x:v>
      </x:c>
    </x:row>
    <x:row r="412">
      <x:c r="A412" t="str">
        <x:v>PED-0411</x:v>
      </x:c>
      <x:c r="B412" s="12" t="n">
        <x:v>46209</x:v>
      </x:c>
      <x:c r="C412" t="str">
        <x:v>MecaParts</x:v>
      </x:c>
      <x:c r="D412" t="str">
        <x:v>Componentes mecánicos</x:v>
      </x:c>
      <x:c r="E412" s="10" t="n">
        <x:v>484.82</x:v>
      </x:c>
      <x:c r="F412" s="12" t="n">
        <x:v>46219</x:v>
      </x:c>
      <x:c r="G412" s="12" t="n">
        <x:v>46217</x:v>
      </x:c>
      <x:c r="H412" t="n">
        <x:v>38</x:v>
      </x:c>
      <x:c r="I412" t="n">
        <x:v>0</x:v>
      </x:c>
      <x:c r="J412" t="str">
        <x:v>Ninguna</x:v>
      </x:c>
      <x:c r="K412" t="str">
        <x:v>No</x:v>
      </x:c>
      <x:c r="L412" t="str">
        <x:v>Valencia</x:v>
      </x:c>
      <x:c r="M412" t="n">
        <x:f>IF(AND(B412&gt;=DATE(2026,7,1),B412&lt;=DATE(2026,9,30),G412&gt;=DATE(2026,7,1),G412&lt;=DATE(2026,9,30)),1,0)</x:f>
        <x:v>1</x:v>
      </x:c>
      <x:c r="N412" t="n">
        <x:f>IF(M412=1,IF(G412&lt;=F412,1,0),0)</x:f>
        <x:v>1</x:v>
      </x:c>
      <x:c r="O412" t="n">
        <x:f>IF(AND(M412=1,K412="Sí",G412&gt;F412),1,0)</x:f>
        <x:v>0</x:v>
      </x:c>
      <x:c r="P412" t="n">
        <x:f>IF(AND(M412=1,I412&gt;0),1,0)</x:f>
        <x:v>0</x:v>
      </x:c>
      <x:c r="Q412" t="n">
        <x:f>IF(AND(B412&gt;=DATE(2026,7,1),B412&lt;=DATE(2026,9,30),G412&gt;=DATE(2026,10,1),G412&lt;=DATE(2026,10,7)),1,0)</x:f>
        <x:v>0</x:v>
      </x:c>
      <x:c r="R412" t="n">
        <x:f>IF(AND(B412&gt;=DATE(2026,7,1),B412&lt;=DATE(2026,9,30),G412&gt;DATE(2026,10,7)),1,0)</x:f>
        <x:v>0</x:v>
      </x:c>
      <x:c r="S412" t="n">
        <x:f>IF(AND(M412=1,J412&lt;&gt;"Ninguna"),1,0)</x:f>
        <x:v>0</x:v>
      </x:c>
    </x:row>
    <x:row r="413">
      <x:c r="A413" t="str">
        <x:v>PED-0412</x:v>
      </x:c>
      <x:c r="B413" s="12" t="n">
        <x:v>46278</x:v>
      </x:c>
      <x:c r="C413" t="str">
        <x:v>MecaParts</x:v>
      </x:c>
      <x:c r="D413" t="str">
        <x:v>Componentes mecánicos</x:v>
      </x:c>
      <x:c r="E413" s="10" t="n">
        <x:v>7502.15</x:v>
      </x:c>
      <x:c r="F413" s="12" t="n">
        <x:v>46287</x:v>
      </x:c>
      <x:c r="G413" s="12" t="n">
        <x:v>46290</x:v>
      </x:c>
      <x:c r="H413" t="n">
        <x:v>198</x:v>
      </x:c>
      <x:c r="I413" t="n">
        <x:v>0</x:v>
      </x:c>
      <x:c r="J413" t="str">
        <x:v>Ninguna</x:v>
      </x:c>
      <x:c r="K413" t="str">
        <x:v>No</x:v>
      </x:c>
      <x:c r="L413" t="str">
        <x:v>Valencia</x:v>
      </x:c>
      <x:c r="M413" t="n">
        <x:f>IF(AND(B413&gt;=DATE(2026,7,1),B413&lt;=DATE(2026,9,30),G413&gt;=DATE(2026,7,1),G413&lt;=DATE(2026,9,30)),1,0)</x:f>
        <x:v>1</x:v>
      </x:c>
      <x:c r="N413" t="n">
        <x:f>IF(M413=1,IF(G413&lt;=F413,1,0),0)</x:f>
        <x:v>0</x:v>
      </x:c>
      <x:c r="O413" t="n">
        <x:f>IF(AND(M413=1,K413="Sí",G413&gt;F413),1,0)</x:f>
        <x:v>0</x:v>
      </x:c>
      <x:c r="P413" t="n">
        <x:f>IF(AND(M413=1,I413&gt;0),1,0)</x:f>
        <x:v>0</x:v>
      </x:c>
      <x:c r="Q413" t="n">
        <x:f>IF(AND(B413&gt;=DATE(2026,7,1),B413&lt;=DATE(2026,9,30),G413&gt;=DATE(2026,10,1),G413&lt;=DATE(2026,10,7)),1,0)</x:f>
        <x:v>0</x:v>
      </x:c>
      <x:c r="R413" t="n">
        <x:f>IF(AND(B413&gt;=DATE(2026,7,1),B413&lt;=DATE(2026,9,30),G413&gt;DATE(2026,10,7)),1,0)</x:f>
        <x:v>0</x:v>
      </x:c>
      <x:c r="S413" t="n">
        <x:f>IF(AND(M413=1,J413&lt;&gt;"Ninguna"),1,0)</x:f>
        <x:v>0</x:v>
      </x:c>
    </x:row>
    <x:row r="414">
      <x:c r="A414" t="str">
        <x:v>PED-0413</x:v>
      </x:c>
      <x:c r="B414" s="12" t="n">
        <x:v>46263</x:v>
      </x:c>
      <x:c r="C414" t="str">
        <x:v>MecaParts</x:v>
      </x:c>
      <x:c r="D414" t="str">
        <x:v>Componentes mecánicos</x:v>
      </x:c>
      <x:c r="E414" s="10" t="n">
        <x:v>3144.33</x:v>
      </x:c>
      <x:c r="F414" s="12" t="n">
        <x:v>46271</x:v>
      </x:c>
      <x:c r="G414" s="12" t="n">
        <x:v>46272</x:v>
      </x:c>
      <x:c r="H414" t="n">
        <x:v>375</x:v>
      </x:c>
      <x:c r="I414" t="n">
        <x:v>0</x:v>
      </x:c>
      <x:c r="J414" t="str">
        <x:v>Ninguna</x:v>
      </x:c>
      <x:c r="K414" t="str">
        <x:v>No</x:v>
      </x:c>
      <x:c r="L414" t="str">
        <x:v>Barcelona</x:v>
      </x:c>
      <x:c r="M414" t="n">
        <x:f>IF(AND(B414&gt;=DATE(2026,7,1),B414&lt;=DATE(2026,9,30),G414&gt;=DATE(2026,7,1),G414&lt;=DATE(2026,9,30)),1,0)</x:f>
        <x:v>1</x:v>
      </x:c>
      <x:c r="N414" t="n">
        <x:f>IF(M414=1,IF(G414&lt;=F414,1,0),0)</x:f>
        <x:v>0</x:v>
      </x:c>
      <x:c r="O414" t="n">
        <x:f>IF(AND(M414=1,K414="Sí",G414&gt;F414),1,0)</x:f>
        <x:v>0</x:v>
      </x:c>
      <x:c r="P414" t="n">
        <x:f>IF(AND(M414=1,I414&gt;0),1,0)</x:f>
        <x:v>0</x:v>
      </x:c>
      <x:c r="Q414" t="n">
        <x:f>IF(AND(B414&gt;=DATE(2026,7,1),B414&lt;=DATE(2026,9,30),G414&gt;=DATE(2026,10,1),G414&lt;=DATE(2026,10,7)),1,0)</x:f>
        <x:v>0</x:v>
      </x:c>
      <x:c r="R414" t="n">
        <x:f>IF(AND(B414&gt;=DATE(2026,7,1),B414&lt;=DATE(2026,9,30),G414&gt;DATE(2026,10,7)),1,0)</x:f>
        <x:v>0</x:v>
      </x:c>
      <x:c r="S414" t="n">
        <x:f>IF(AND(M414=1,J414&lt;&gt;"Ninguna"),1,0)</x:f>
        <x:v>0</x:v>
      </x:c>
    </x:row>
    <x:row r="415">
      <x:c r="A415" t="str">
        <x:v>PED-0414</x:v>
      </x:c>
      <x:c r="B415" s="12" t="n">
        <x:v>46240</x:v>
      </x:c>
      <x:c r="C415" t="str">
        <x:v>OfiPlus</x:v>
      </x:c>
      <x:c r="D415" t="str">
        <x:v>Consumibles</x:v>
      </x:c>
      <x:c r="E415" s="10" t="n">
        <x:v>17975.33</x:v>
      </x:c>
      <x:c r="F415" s="12" t="n">
        <x:v>46245</x:v>
      </x:c>
      <x:c r="G415" s="12" t="n">
        <x:v>46243</x:v>
      </x:c>
      <x:c r="H415" t="n">
        <x:v>395</x:v>
      </x:c>
      <x:c r="I415" t="n">
        <x:v>0</x:v>
      </x:c>
      <x:c r="J415" t="str">
        <x:v>Ninguna</x:v>
      </x:c>
      <x:c r="K415" t="str">
        <x:v>No</x:v>
      </x:c>
      <x:c r="L415" t="str">
        <x:v>Barcelona</x:v>
      </x:c>
      <x:c r="M415" t="n">
        <x:f>IF(AND(B415&gt;=DATE(2026,7,1),B415&lt;=DATE(2026,9,30),G415&gt;=DATE(2026,7,1),G415&lt;=DATE(2026,9,30)),1,0)</x:f>
        <x:v>1</x:v>
      </x:c>
      <x:c r="N415" t="n">
        <x:f>IF(M415=1,IF(G415&lt;=F415,1,0),0)</x:f>
        <x:v>1</x:v>
      </x:c>
      <x:c r="O415" t="n">
        <x:f>IF(AND(M415=1,K415="Sí",G415&gt;F415),1,0)</x:f>
        <x:v>0</x:v>
      </x:c>
      <x:c r="P415" t="n">
        <x:f>IF(AND(M415=1,I415&gt;0),1,0)</x:f>
        <x:v>0</x:v>
      </x:c>
      <x:c r="Q415" t="n">
        <x:f>IF(AND(B415&gt;=DATE(2026,7,1),B415&lt;=DATE(2026,9,30),G415&gt;=DATE(2026,10,1),G415&lt;=DATE(2026,10,7)),1,0)</x:f>
        <x:v>0</x:v>
      </x:c>
      <x:c r="R415" t="n">
        <x:f>IF(AND(B415&gt;=DATE(2026,7,1),B415&lt;=DATE(2026,9,30),G415&gt;DATE(2026,10,7)),1,0)</x:f>
        <x:v>0</x:v>
      </x:c>
      <x:c r="S415" t="n">
        <x:f>IF(AND(M415=1,J415&lt;&gt;"Ninguna"),1,0)</x:f>
        <x:v>0</x:v>
      </x:c>
    </x:row>
    <x:row r="416">
      <x:c r="A416" t="str">
        <x:v>PED-0415</x:v>
      </x:c>
      <x:c r="B416" s="12" t="n">
        <x:v>46248</x:v>
      </x:c>
      <x:c r="C416" t="str">
        <x:v>MecaParts</x:v>
      </x:c>
      <x:c r="D416" t="str">
        <x:v>Componentes mecánicos</x:v>
      </x:c>
      <x:c r="E416" s="10" t="n">
        <x:v>9808.29</x:v>
      </x:c>
      <x:c r="F416" s="12" t="n">
        <x:v>46258</x:v>
      </x:c>
      <x:c r="G416" s="12" t="n">
        <x:v>46258</x:v>
      </x:c>
      <x:c r="H416" t="n">
        <x:v>203</x:v>
      </x:c>
      <x:c r="I416" t="n">
        <x:v>0</x:v>
      </x:c>
      <x:c r="J416" t="str">
        <x:v>Ninguna</x:v>
      </x:c>
      <x:c r="K416" t="str">
        <x:v>No</x:v>
      </x:c>
      <x:c r="L416" t="str">
        <x:v>Valencia</x:v>
      </x:c>
      <x:c r="M416" t="n">
        <x:f>IF(AND(B416&gt;=DATE(2026,7,1),B416&lt;=DATE(2026,9,30),G416&gt;=DATE(2026,7,1),G416&lt;=DATE(2026,9,30)),1,0)</x:f>
        <x:v>1</x:v>
      </x:c>
      <x:c r="N416" t="n">
        <x:f>IF(M416=1,IF(G416&lt;=F416,1,0),0)</x:f>
        <x:v>1</x:v>
      </x:c>
      <x:c r="O416" t="n">
        <x:f>IF(AND(M416=1,K416="Sí",G416&gt;F416),1,0)</x:f>
        <x:v>0</x:v>
      </x:c>
      <x:c r="P416" t="n">
        <x:f>IF(AND(M416=1,I416&gt;0),1,0)</x:f>
        <x:v>0</x:v>
      </x:c>
      <x:c r="Q416" t="n">
        <x:f>IF(AND(B416&gt;=DATE(2026,7,1),B416&lt;=DATE(2026,9,30),G416&gt;=DATE(2026,10,1),G416&lt;=DATE(2026,10,7)),1,0)</x:f>
        <x:v>0</x:v>
      </x:c>
      <x:c r="R416" t="n">
        <x:f>IF(AND(B416&gt;=DATE(2026,7,1),B416&lt;=DATE(2026,9,30),G416&gt;DATE(2026,10,7)),1,0)</x:f>
        <x:v>0</x:v>
      </x:c>
      <x:c r="S416" t="n">
        <x:f>IF(AND(M416=1,J416&lt;&gt;"Ninguna"),1,0)</x:f>
        <x:v>0</x:v>
      </x:c>
    </x:row>
    <x:row r="417">
      <x:c r="A417" t="str">
        <x:v>PED-0416</x:v>
      </x:c>
      <x:c r="B417" s="12" t="n">
        <x:v>46272</x:v>
      </x:c>
      <x:c r="C417" t="str">
        <x:v>OfiPlus</x:v>
      </x:c>
      <x:c r="D417" t="str">
        <x:v>Consumibles</x:v>
      </x:c>
      <x:c r="E417" s="10" t="n">
        <x:v>8715.09</x:v>
      </x:c>
      <x:c r="F417" s="12" t="n">
        <x:v>46278</x:v>
      </x:c>
      <x:c r="G417" s="12" t="n">
        <x:v>46280</x:v>
      </x:c>
      <x:c r="H417" t="n">
        <x:v>331</x:v>
      </x:c>
      <x:c r="I417" t="n">
        <x:v>0</x:v>
      </x:c>
      <x:c r="J417" t="str">
        <x:v>Ninguna</x:v>
      </x:c>
      <x:c r="K417" t="str">
        <x:v>No</x:v>
      </x:c>
      <x:c r="L417" t="str">
        <x:v>Barcelona</x:v>
      </x:c>
      <x:c r="M417" t="n">
        <x:f>IF(AND(B417&gt;=DATE(2026,7,1),B417&lt;=DATE(2026,9,30),G417&gt;=DATE(2026,7,1),G417&lt;=DATE(2026,9,30)),1,0)</x:f>
        <x:v>1</x:v>
      </x:c>
      <x:c r="N417" t="n">
        <x:f>IF(M417=1,IF(G417&lt;=F417,1,0),0)</x:f>
        <x:v>0</x:v>
      </x:c>
      <x:c r="O417" t="n">
        <x:f>IF(AND(M417=1,K417="Sí",G417&gt;F417),1,0)</x:f>
        <x:v>0</x:v>
      </x:c>
      <x:c r="P417" t="n">
        <x:f>IF(AND(M417=1,I417&gt;0),1,0)</x:f>
        <x:v>0</x:v>
      </x:c>
      <x:c r="Q417" t="n">
        <x:f>IF(AND(B417&gt;=DATE(2026,7,1),B417&lt;=DATE(2026,9,30),G417&gt;=DATE(2026,10,1),G417&lt;=DATE(2026,10,7)),1,0)</x:f>
        <x:v>0</x:v>
      </x:c>
      <x:c r="R417" t="n">
        <x:f>IF(AND(B417&gt;=DATE(2026,7,1),B417&lt;=DATE(2026,9,30),G417&gt;DATE(2026,10,7)),1,0)</x:f>
        <x:v>0</x:v>
      </x:c>
      <x:c r="S417" t="n">
        <x:f>IF(AND(M417=1,J417&lt;&gt;"Ninguna"),1,0)</x:f>
        <x:v>0</x:v>
      </x:c>
    </x:row>
    <x:row r="418">
      <x:c r="A418" t="str">
        <x:v>PED-0417</x:v>
      </x:c>
      <x:c r="B418" s="12" t="n">
        <x:v>46287</x:v>
      </x:c>
      <x:c r="C418" t="str">
        <x:v>ElectraSupply</x:v>
      </x:c>
      <x:c r="D418" t="str">
        <x:v>Componentes eléctricos</x:v>
      </x:c>
      <x:c r="E418" s="10" t="n">
        <x:v>1535.76</x:v>
      </x:c>
      <x:c r="F418" s="12" t="n">
        <x:v>46298</x:v>
      </x:c>
      <x:c r="G418" s="12" t="n">
        <x:v>46306</x:v>
      </x:c>
      <x:c r="H418" t="n">
        <x:v>74</x:v>
      </x:c>
      <x:c r="I418" t="n">
        <x:v>0</x:v>
      </x:c>
      <x:c r="J418" t="str">
        <x:v>Daño transporte</x:v>
      </x:c>
      <x:c r="K418" t="str">
        <x:v>No</x:v>
      </x:c>
      <x:c r="L418" t="str">
        <x:v>Zaragoza</x:v>
      </x:c>
      <x:c r="M418" t="n">
        <x:f>IF(AND(B418&gt;=DATE(2026,7,1),B418&lt;=DATE(2026,9,30),G418&gt;=DATE(2026,7,1),G418&lt;=DATE(2026,9,30)),1,0)</x:f>
        <x:v>0</x:v>
      </x:c>
      <x:c r="N418" t="n">
        <x:f>IF(M418=1,IF(G418&lt;=F418,1,0),0)</x:f>
        <x:v>0</x:v>
      </x:c>
      <x:c r="O418" t="n">
        <x:f>IF(AND(M418=1,K418="Sí",G418&gt;F418),1,0)</x:f>
        <x:v>0</x:v>
      </x:c>
      <x:c r="P418" t="n">
        <x:f>IF(AND(M418=1,I418&gt;0),1,0)</x:f>
        <x:v>0</x:v>
      </x:c>
      <x:c r="Q418" t="n">
        <x:f>IF(AND(B418&gt;=DATE(2026,7,1),B418&lt;=DATE(2026,9,30),G418&gt;=DATE(2026,10,1),G418&lt;=DATE(2026,10,7)),1,0)</x:f>
        <x:v>0</x:v>
      </x:c>
      <x:c r="R418" t="n">
        <x:f>IF(AND(B418&gt;=DATE(2026,7,1),B418&lt;=DATE(2026,9,30),G418&gt;DATE(2026,10,7)),1,0)</x:f>
        <x:v>1</x:v>
      </x:c>
      <x:c r="S418" t="n">
        <x:f>IF(AND(M418=1,J418&lt;&gt;"Ninguna"),1,0)</x:f>
        <x:v>0</x:v>
      </x:c>
    </x:row>
    <x:row r="419">
      <x:c r="A419" t="str">
        <x:v>PED-0418</x:v>
      </x:c>
      <x:c r="B419" s="12" t="n">
        <x:v>46285</x:v>
      </x:c>
      <x:c r="C419" t="str">
        <x:v>MecaParts</x:v>
      </x:c>
      <x:c r="D419" t="str">
        <x:v>Componentes mecánicos</x:v>
      </x:c>
      <x:c r="E419" s="10" t="n">
        <x:v>3853.29</x:v>
      </x:c>
      <x:c r="F419" s="12" t="n">
        <x:v>46294</x:v>
      </x:c>
      <x:c r="G419" s="12" t="n">
        <x:v>46299</x:v>
      </x:c>
      <x:c r="H419" t="n">
        <x:v>102</x:v>
      </x:c>
      <x:c r="I419" t="n">
        <x:v>0</x:v>
      </x:c>
      <x:c r="J419" t="str">
        <x:v>Ninguna</x:v>
      </x:c>
      <x:c r="K419" t="str">
        <x:v>No</x:v>
      </x:c>
      <x:c r="L419" t="str">
        <x:v>Barcelona</x:v>
      </x:c>
      <x:c r="M419" t="n">
        <x:f>IF(AND(B419&gt;=DATE(2026,7,1),B419&lt;=DATE(2026,9,30),G419&gt;=DATE(2026,7,1),G419&lt;=DATE(2026,9,30)),1,0)</x:f>
        <x:v>0</x:v>
      </x:c>
      <x:c r="N419" t="n">
        <x:f>IF(M419=1,IF(G419&lt;=F419,1,0),0)</x:f>
        <x:v>0</x:v>
      </x:c>
      <x:c r="O419" t="n">
        <x:f>IF(AND(M419=1,K419="Sí",G419&gt;F419),1,0)</x:f>
        <x:v>0</x:v>
      </x:c>
      <x:c r="P419" t="n">
        <x:f>IF(AND(M419=1,I419&gt;0),1,0)</x:f>
        <x:v>0</x:v>
      </x:c>
      <x:c r="Q419" t="n">
        <x:f>IF(AND(B419&gt;=DATE(2026,7,1),B419&lt;=DATE(2026,9,30),G419&gt;=DATE(2026,10,1),G419&lt;=DATE(2026,10,7)),1,0)</x:f>
        <x:v>1</x:v>
      </x:c>
      <x:c r="R419" t="n">
        <x:f>IF(AND(B419&gt;=DATE(2026,7,1),B419&lt;=DATE(2026,9,30),G419&gt;DATE(2026,10,7)),1,0)</x:f>
        <x:v>0</x:v>
      </x:c>
      <x:c r="S419" t="n">
        <x:f>IF(AND(M419=1,J419&lt;&gt;"Ninguna"),1,0)</x:f>
        <x:v>0</x:v>
      </x:c>
    </x:row>
    <x:row r="420">
      <x:c r="A420" t="str">
        <x:v>PED-0419</x:v>
      </x:c>
      <x:c r="B420" s="12" t="n">
        <x:v>46279</x:v>
      </x:c>
      <x:c r="C420" t="str">
        <x:v>ElectraSupply</x:v>
      </x:c>
      <x:c r="D420" t="str">
        <x:v>Componentes eléctricos</x:v>
      </x:c>
      <x:c r="E420" s="10" t="n">
        <x:v>2186.82</x:v>
      </x:c>
      <x:c r="F420" s="12" t="n">
        <x:v>46292</x:v>
      </x:c>
      <x:c r="G420" s="12" t="n">
        <x:v>46296</x:v>
      </x:c>
      <x:c r="H420" t="n">
        <x:v>58</x:v>
      </x:c>
      <x:c r="I420" t="n">
        <x:v>0</x:v>
      </x:c>
      <x:c r="J420" t="str">
        <x:v>Daño transporte</x:v>
      </x:c>
      <x:c r="K420" t="str">
        <x:v>No</x:v>
      </x:c>
      <x:c r="L420" t="str">
        <x:v>Zaragoza</x:v>
      </x:c>
      <x:c r="M420" t="n">
        <x:f>IF(AND(B420&gt;=DATE(2026,7,1),B420&lt;=DATE(2026,9,30),G420&gt;=DATE(2026,7,1),G420&lt;=DATE(2026,9,30)),1,0)</x:f>
        <x:v>0</x:v>
      </x:c>
      <x:c r="N420" t="n">
        <x:f>IF(M420=1,IF(G420&lt;=F420,1,0),0)</x:f>
        <x:v>0</x:v>
      </x:c>
      <x:c r="O420" t="n">
        <x:f>IF(AND(M420=1,K420="Sí",G420&gt;F420),1,0)</x:f>
        <x:v>0</x:v>
      </x:c>
      <x:c r="P420" t="n">
        <x:f>IF(AND(M420=1,I420&gt;0),1,0)</x:f>
        <x:v>0</x:v>
      </x:c>
      <x:c r="Q420" t="n">
        <x:f>IF(AND(B420&gt;=DATE(2026,7,1),B420&lt;=DATE(2026,9,30),G420&gt;=DATE(2026,10,1),G420&lt;=DATE(2026,10,7)),1,0)</x:f>
        <x:v>1</x:v>
      </x:c>
      <x:c r="R420" t="n">
        <x:f>IF(AND(B420&gt;=DATE(2026,7,1),B420&lt;=DATE(2026,9,30),G420&gt;DATE(2026,10,7)),1,0)</x:f>
        <x:v>0</x:v>
      </x:c>
      <x:c r="S420" t="n">
        <x:f>IF(AND(M420=1,J420&lt;&gt;"Ninguna"),1,0)</x:f>
        <x:v>0</x:v>
      </x:c>
    </x:row>
    <x:row r="421">
      <x:c r="A421" t="str">
        <x:v>PED-0420</x:v>
      </x:c>
      <x:c r="B421" s="12" t="n">
        <x:v>46204</x:v>
      </x:c>
      <x:c r="C421" t="str">
        <x:v>OfiPlus</x:v>
      </x:c>
      <x:c r="D421" t="str">
        <x:v>Consumibles</x:v>
      </x:c>
      <x:c r="E421" s="10" t="n">
        <x:v>11828.74</x:v>
      </x:c>
      <x:c r="F421" s="12" t="n">
        <x:v>46209</x:v>
      </x:c>
      <x:c r="G421" s="12" t="n">
        <x:v>46212</x:v>
      </x:c>
      <x:c r="H421" t="n">
        <x:v>229</x:v>
      </x:c>
      <x:c r="I421" t="n">
        <x:v>0</x:v>
      </x:c>
      <x:c r="J421" t="str">
        <x:v>Ninguna</x:v>
      </x:c>
      <x:c r="K421" t="str">
        <x:v>No</x:v>
      </x:c>
      <x:c r="L421" t="str">
        <x:v>Zaragoza</x:v>
      </x:c>
      <x:c r="M421" t="n">
        <x:f>IF(AND(B421&gt;=DATE(2026,7,1),B421&lt;=DATE(2026,9,30),G421&gt;=DATE(2026,7,1),G421&lt;=DATE(2026,9,30)),1,0)</x:f>
        <x:v>1</x:v>
      </x:c>
      <x:c r="N421" t="n">
        <x:f>IF(M421=1,IF(G421&lt;=F421,1,0),0)</x:f>
        <x:v>0</x:v>
      </x:c>
      <x:c r="O421" t="n">
        <x:f>IF(AND(M421=1,K421="Sí",G421&gt;F421),1,0)</x:f>
        <x:v>0</x:v>
      </x:c>
      <x:c r="P421" t="n">
        <x:f>IF(AND(M421=1,I421&gt;0),1,0)</x:f>
        <x:v>0</x:v>
      </x:c>
      <x:c r="Q421" t="n">
        <x:f>IF(AND(B421&gt;=DATE(2026,7,1),B421&lt;=DATE(2026,9,30),G421&gt;=DATE(2026,10,1),G421&lt;=DATE(2026,10,7)),1,0)</x:f>
        <x:v>0</x:v>
      </x:c>
      <x:c r="R421" t="n">
        <x:f>IF(AND(B421&gt;=DATE(2026,7,1),B421&lt;=DATE(2026,9,30),G421&gt;DATE(2026,10,7)),1,0)</x:f>
        <x:v>0</x:v>
      </x:c>
      <x:c r="S421" t="n">
        <x:f>IF(AND(M421=1,J421&lt;&gt;"Ninguna"),1,0)</x:f>
        <x:v>0</x:v>
      </x:c>
    </x:row>
    <x:row r="422">
      <x:c r="A422" t="str">
        <x:v>PED-0421</x:v>
      </x:c>
      <x:c r="B422" s="12" t="n">
        <x:v>46233</x:v>
      </x:c>
      <x:c r="C422" t="str">
        <x:v>MetalNova</x:v>
      </x:c>
      <x:c r="D422" t="str">
        <x:v>Materia prima</x:v>
      </x:c>
      <x:c r="E422" s="10" t="n">
        <x:v>8613.37</x:v>
      </x:c>
      <x:c r="F422" s="12" t="n">
        <x:v>46242</x:v>
      </x:c>
      <x:c r="G422" s="12" t="n">
        <x:v>46244</x:v>
      </x:c>
      <x:c r="H422" t="n">
        <x:v>334</x:v>
      </x:c>
      <x:c r="I422" t="n">
        <x:v>0</x:v>
      </x:c>
      <x:c r="J422" t="str">
        <x:v>Ninguna</x:v>
      </x:c>
      <x:c r="K422" t="str">
        <x:v>No</x:v>
      </x:c>
      <x:c r="L422" t="str">
        <x:v>Barcelona</x:v>
      </x:c>
      <x:c r="M422" t="n">
        <x:f>IF(AND(B422&gt;=DATE(2026,7,1),B422&lt;=DATE(2026,9,30),G422&gt;=DATE(2026,7,1),G422&lt;=DATE(2026,9,30)),1,0)</x:f>
        <x:v>1</x:v>
      </x:c>
      <x:c r="N422" t="n">
        <x:f>IF(M422=1,IF(G422&lt;=F422,1,0),0)</x:f>
        <x:v>0</x:v>
      </x:c>
      <x:c r="O422" t="n">
        <x:f>IF(AND(M422=1,K422="Sí",G422&gt;F422),1,0)</x:f>
        <x:v>0</x:v>
      </x:c>
      <x:c r="P422" t="n">
        <x:f>IF(AND(M422=1,I422&gt;0),1,0)</x:f>
        <x:v>0</x:v>
      </x:c>
      <x:c r="Q422" t="n">
        <x:f>IF(AND(B422&gt;=DATE(2026,7,1),B422&lt;=DATE(2026,9,30),G422&gt;=DATE(2026,10,1),G422&lt;=DATE(2026,10,7)),1,0)</x:f>
        <x:v>0</x:v>
      </x:c>
      <x:c r="R422" t="n">
        <x:f>IF(AND(B422&gt;=DATE(2026,7,1),B422&lt;=DATE(2026,9,30),G422&gt;DATE(2026,10,7)),1,0)</x:f>
        <x:v>0</x:v>
      </x:c>
      <x:c r="S422" t="n">
        <x:f>IF(AND(M422=1,J422&lt;&gt;"Ninguna"),1,0)</x:f>
        <x:v>0</x:v>
      </x:c>
    </x:row>
    <x:row r="423">
      <x:c r="A423" t="str">
        <x:v>PED-0422</x:v>
      </x:c>
      <x:c r="B423" s="12" t="n">
        <x:v>46218</x:v>
      </x:c>
      <x:c r="C423" t="str">
        <x:v>MecaParts</x:v>
      </x:c>
      <x:c r="D423" t="str">
        <x:v>Componentes mecánicos</x:v>
      </x:c>
      <x:c r="E423" s="10" t="n">
        <x:v>6783.85</x:v>
      </x:c>
      <x:c r="F423" s="12" t="n">
        <x:v>46229</x:v>
      </x:c>
      <x:c r="G423" s="12" t="n">
        <x:v>46232</x:v>
      </x:c>
      <x:c r="H423" t="n">
        <x:v>177</x:v>
      </x:c>
      <x:c r="I423" t="n">
        <x:v>0</x:v>
      </x:c>
      <x:c r="J423" t="str">
        <x:v>Daño transporte</x:v>
      </x:c>
      <x:c r="K423" t="str">
        <x:v>No</x:v>
      </x:c>
      <x:c r="L423" t="str">
        <x:v>Zaragoza</x:v>
      </x:c>
      <x:c r="M423" t="n">
        <x:f>IF(AND(B423&gt;=DATE(2026,7,1),B423&lt;=DATE(2026,9,30),G423&gt;=DATE(2026,7,1),G423&lt;=DATE(2026,9,30)),1,0)</x:f>
        <x:v>1</x:v>
      </x:c>
      <x:c r="N423" t="n">
        <x:f>IF(M423=1,IF(G423&lt;=F423,1,0),0)</x:f>
        <x:v>0</x:v>
      </x:c>
      <x:c r="O423" t="n">
        <x:f>IF(AND(M423=1,K423="Sí",G423&gt;F423),1,0)</x:f>
        <x:v>0</x:v>
      </x:c>
      <x:c r="P423" t="n">
        <x:f>IF(AND(M423=1,I423&gt;0),1,0)</x:f>
        <x:v>0</x:v>
      </x:c>
      <x:c r="Q423" t="n">
        <x:f>IF(AND(B423&gt;=DATE(2026,7,1),B423&lt;=DATE(2026,9,30),G423&gt;=DATE(2026,10,1),G423&lt;=DATE(2026,10,7)),1,0)</x:f>
        <x:v>0</x:v>
      </x:c>
      <x:c r="R423" t="n">
        <x:f>IF(AND(B423&gt;=DATE(2026,7,1),B423&lt;=DATE(2026,9,30),G423&gt;DATE(2026,10,7)),1,0)</x:f>
        <x:v>0</x:v>
      </x:c>
      <x:c r="S423" t="n">
        <x:f>IF(AND(M423=1,J423&lt;&gt;"Ninguna"),1,0)</x:f>
        <x:v>1</x:v>
      </x:c>
    </x:row>
    <x:row r="424">
      <x:c r="A424" t="str">
        <x:v>PED-0423</x:v>
      </x:c>
      <x:c r="B424" s="12" t="n">
        <x:v>46245</x:v>
      </x:c>
      <x:c r="C424" t="str">
        <x:v>PackPro</x:v>
      </x:c>
      <x:c r="D424" t="str">
        <x:v>Embalaje</x:v>
      </x:c>
      <x:c r="E424" s="10" t="n">
        <x:v>5920.1</x:v>
      </x:c>
      <x:c r="F424" s="12" t="n">
        <x:v>46251</x:v>
      </x:c>
      <x:c r="G424" s="12" t="n">
        <x:v>46252</x:v>
      </x:c>
      <x:c r="H424" t="n">
        <x:v>345</x:v>
      </x:c>
      <x:c r="I424" t="n">
        <x:v>0</x:v>
      </x:c>
      <x:c r="J424" t="str">
        <x:v>Ninguna</x:v>
      </x:c>
      <x:c r="K424" t="str">
        <x:v>No</x:v>
      </x:c>
      <x:c r="L424" t="str">
        <x:v>Valencia</x:v>
      </x:c>
      <x:c r="M424" t="n">
        <x:f>IF(AND(B424&gt;=DATE(2026,7,1),B424&lt;=DATE(2026,9,30),G424&gt;=DATE(2026,7,1),G424&lt;=DATE(2026,9,30)),1,0)</x:f>
        <x:v>1</x:v>
      </x:c>
      <x:c r="N424" t="n">
        <x:f>IF(M424=1,IF(G424&lt;=F424,1,0),0)</x:f>
        <x:v>0</x:v>
      </x:c>
      <x:c r="O424" t="n">
        <x:f>IF(AND(M424=1,K424="Sí",G424&gt;F424),1,0)</x:f>
        <x:v>0</x:v>
      </x:c>
      <x:c r="P424" t="n">
        <x:f>IF(AND(M424=1,I424&gt;0),1,0)</x:f>
        <x:v>0</x:v>
      </x:c>
      <x:c r="Q424" t="n">
        <x:f>IF(AND(B424&gt;=DATE(2026,7,1),B424&lt;=DATE(2026,9,30),G424&gt;=DATE(2026,10,1),G424&lt;=DATE(2026,10,7)),1,0)</x:f>
        <x:v>0</x:v>
      </x:c>
      <x:c r="R424" t="n">
        <x:f>IF(AND(B424&gt;=DATE(2026,7,1),B424&lt;=DATE(2026,9,30),G424&gt;DATE(2026,10,7)),1,0)</x:f>
        <x:v>0</x:v>
      </x:c>
      <x:c r="S424" t="n">
        <x:f>IF(AND(M424=1,J424&lt;&gt;"Ninguna"),1,0)</x:f>
        <x:v>0</x:v>
      </x:c>
    </x:row>
    <x:row r="425">
      <x:c r="A425" t="str">
        <x:v>PED-0424</x:v>
      </x:c>
      <x:c r="B425" s="12" t="n">
        <x:v>46287</x:v>
      </x:c>
      <x:c r="C425" t="str">
        <x:v>ElectraSupply</x:v>
      </x:c>
      <x:c r="D425" t="str">
        <x:v>Componentes eléctricos</x:v>
      </x:c>
      <x:c r="E425" s="10" t="n">
        <x:v>3234.96</x:v>
      </x:c>
      <x:c r="F425" s="12" t="n">
        <x:v>46301</x:v>
      </x:c>
      <x:c r="G425" s="12" t="n">
        <x:v>46304</x:v>
      </x:c>
      <x:c r="H425" t="n">
        <x:v>224</x:v>
      </x:c>
      <x:c r="I425" t="n">
        <x:v>0</x:v>
      </x:c>
      <x:c r="J425" t="str">
        <x:v>Ninguna</x:v>
      </x:c>
      <x:c r="K425" t="str">
        <x:v>No</x:v>
      </x:c>
      <x:c r="L425" t="str">
        <x:v>Valencia</x:v>
      </x:c>
      <x:c r="M425" t="n">
        <x:f>IF(AND(B425&gt;=DATE(2026,7,1),B425&lt;=DATE(2026,9,30),G425&gt;=DATE(2026,7,1),G425&lt;=DATE(2026,9,30)),1,0)</x:f>
        <x:v>0</x:v>
      </x:c>
      <x:c r="N425" t="n">
        <x:f>IF(M425=1,IF(G425&lt;=F425,1,0),0)</x:f>
        <x:v>0</x:v>
      </x:c>
      <x:c r="O425" t="n">
        <x:f>IF(AND(M425=1,K425="Sí",G425&gt;F425),1,0)</x:f>
        <x:v>0</x:v>
      </x:c>
      <x:c r="P425" t="n">
        <x:f>IF(AND(M425=1,I425&gt;0),1,0)</x:f>
        <x:v>0</x:v>
      </x:c>
      <x:c r="Q425" t="n">
        <x:f>IF(AND(B425&gt;=DATE(2026,7,1),B425&lt;=DATE(2026,9,30),G425&gt;=DATE(2026,10,1),G425&lt;=DATE(2026,10,7)),1,0)</x:f>
        <x:v>0</x:v>
      </x:c>
      <x:c r="R425" t="n">
        <x:f>IF(AND(B425&gt;=DATE(2026,7,1),B425&lt;=DATE(2026,9,30),G425&gt;DATE(2026,10,7)),1,0)</x:f>
        <x:v>1</x:v>
      </x:c>
      <x:c r="S425" t="n">
        <x:f>IF(AND(M425=1,J425&lt;&gt;"Ninguna"),1,0)</x:f>
        <x:v>0</x:v>
      </x:c>
    </x:row>
    <x:row r="426">
      <x:c r="A426" t="str">
        <x:v>PED-0425</x:v>
      </x:c>
      <x:c r="B426" s="12" t="n">
        <x:v>46247</x:v>
      </x:c>
      <x:c r="C426" t="str">
        <x:v>ElectraSupply</x:v>
      </x:c>
      <x:c r="D426" t="str">
        <x:v>Componentes eléctricos</x:v>
      </x:c>
      <x:c r="E426" s="10" t="n">
        <x:v>7696.11</x:v>
      </x:c>
      <x:c r="F426" s="12" t="n">
        <x:v>46260</x:v>
      </x:c>
      <x:c r="G426" s="12" t="n">
        <x:v>46264</x:v>
      </x:c>
      <x:c r="H426" t="n">
        <x:v>162</x:v>
      </x:c>
      <x:c r="I426" t="n">
        <x:v>0</x:v>
      </x:c>
      <x:c r="J426" t="str">
        <x:v>Daño transporte</x:v>
      </x:c>
      <x:c r="K426" t="str">
        <x:v>No</x:v>
      </x:c>
      <x:c r="L426" t="str">
        <x:v>Barcelona</x:v>
      </x:c>
      <x:c r="M426" t="n">
        <x:f>IF(AND(B426&gt;=DATE(2026,7,1),B426&lt;=DATE(2026,9,30),G426&gt;=DATE(2026,7,1),G426&lt;=DATE(2026,9,30)),1,0)</x:f>
        <x:v>1</x:v>
      </x:c>
      <x:c r="N426" t="n">
        <x:f>IF(M426=1,IF(G426&lt;=F426,1,0),0)</x:f>
        <x:v>0</x:v>
      </x:c>
      <x:c r="O426" t="n">
        <x:f>IF(AND(M426=1,K426="Sí",G426&gt;F426),1,0)</x:f>
        <x:v>0</x:v>
      </x:c>
      <x:c r="P426" t="n">
        <x:f>IF(AND(M426=1,I426&gt;0),1,0)</x:f>
        <x:v>0</x:v>
      </x:c>
      <x:c r="Q426" t="n">
        <x:f>IF(AND(B426&gt;=DATE(2026,7,1),B426&lt;=DATE(2026,9,30),G426&gt;=DATE(2026,10,1),G426&lt;=DATE(2026,10,7)),1,0)</x:f>
        <x:v>0</x:v>
      </x:c>
      <x:c r="R426" t="n">
        <x:f>IF(AND(B426&gt;=DATE(2026,7,1),B426&lt;=DATE(2026,9,30),G426&gt;DATE(2026,10,7)),1,0)</x:f>
        <x:v>0</x:v>
      </x:c>
      <x:c r="S426" t="n">
        <x:f>IF(AND(M426=1,J426&lt;&gt;"Ninguna"),1,0)</x:f>
        <x:v>1</x:v>
      </x:c>
    </x:row>
    <x:row r="427">
      <x:c r="A427" t="str">
        <x:v>PED-0426</x:v>
      </x:c>
      <x:c r="B427" s="12" t="n">
        <x:v>46284</x:v>
      </x:c>
      <x:c r="C427" t="str">
        <x:v>MetalNova</x:v>
      </x:c>
      <x:c r="D427" t="str">
        <x:v>Materia prima</x:v>
      </x:c>
      <x:c r="E427" s="10" t="n">
        <x:v>546.14</x:v>
      </x:c>
      <x:c r="F427" s="12" t="n">
        <x:v>46294</x:v>
      </x:c>
      <x:c r="G427" s="12" t="n">
        <x:v>46293</x:v>
      </x:c>
      <x:c r="H427" t="n">
        <x:v>61</x:v>
      </x:c>
      <x:c r="I427" t="n">
        <x:v>0</x:v>
      </x:c>
      <x:c r="J427" t="str">
        <x:v>Ninguna</x:v>
      </x:c>
      <x:c r="K427" t="str">
        <x:v>No</x:v>
      </x:c>
      <x:c r="L427" t="str">
        <x:v>Valencia</x:v>
      </x:c>
      <x:c r="M427" t="n">
        <x:f>IF(AND(B427&gt;=DATE(2026,7,1),B427&lt;=DATE(2026,9,30),G427&gt;=DATE(2026,7,1),G427&lt;=DATE(2026,9,30)),1,0)</x:f>
        <x:v>1</x:v>
      </x:c>
      <x:c r="N427" t="n">
        <x:f>IF(M427=1,IF(G427&lt;=F427,1,0),0)</x:f>
        <x:v>1</x:v>
      </x:c>
      <x:c r="O427" t="n">
        <x:f>IF(AND(M427=1,K427="Sí",G427&gt;F427),1,0)</x:f>
        <x:v>0</x:v>
      </x:c>
      <x:c r="P427" t="n">
        <x:f>IF(AND(M427=1,I427&gt;0),1,0)</x:f>
        <x:v>0</x:v>
      </x:c>
      <x:c r="Q427" t="n">
        <x:f>IF(AND(B427&gt;=DATE(2026,7,1),B427&lt;=DATE(2026,9,30),G427&gt;=DATE(2026,10,1),G427&lt;=DATE(2026,10,7)),1,0)</x:f>
        <x:v>0</x:v>
      </x:c>
      <x:c r="R427" t="n">
        <x:f>IF(AND(B427&gt;=DATE(2026,7,1),B427&lt;=DATE(2026,9,30),G427&gt;DATE(2026,10,7)),1,0)</x:f>
        <x:v>0</x:v>
      </x:c>
      <x:c r="S427" t="n">
        <x:f>IF(AND(M427=1,J427&lt;&gt;"Ninguna"),1,0)</x:f>
        <x:v>0</x:v>
      </x:c>
    </x:row>
    <x:row r="428">
      <x:c r="A428" t="str">
        <x:v>PED-0427</x:v>
      </x:c>
      <x:c r="B428" s="12" t="n">
        <x:v>46294</x:v>
      </x:c>
      <x:c r="C428" t="str">
        <x:v>MecaParts</x:v>
      </x:c>
      <x:c r="D428" t="str">
        <x:v>Componentes mecánicos</x:v>
      </x:c>
      <x:c r="E428" s="10" t="n">
        <x:v>9391.29</x:v>
      </x:c>
      <x:c r="F428" s="12" t="n">
        <x:v>46303</x:v>
      </x:c>
      <x:c r="G428" s="12" t="n">
        <x:v>46309</x:v>
      </x:c>
      <x:c r="H428" t="n">
        <x:v>189</x:v>
      </x:c>
      <x:c r="I428" t="n">
        <x:v>0</x:v>
      </x:c>
      <x:c r="J428" t="str">
        <x:v>Ninguna</x:v>
      </x:c>
      <x:c r="K428" t="str">
        <x:v>No</x:v>
      </x:c>
      <x:c r="L428" t="str">
        <x:v>Valencia</x:v>
      </x:c>
      <x:c r="M428" t="n">
        <x:f>IF(AND(B428&gt;=DATE(2026,7,1),B428&lt;=DATE(2026,9,30),G428&gt;=DATE(2026,7,1),G428&lt;=DATE(2026,9,30)),1,0)</x:f>
        <x:v>0</x:v>
      </x:c>
      <x:c r="N428" t="n">
        <x:f>IF(M428=1,IF(G428&lt;=F428,1,0),0)</x:f>
        <x:v>0</x:v>
      </x:c>
      <x:c r="O428" t="n">
        <x:f>IF(AND(M428=1,K428="Sí",G428&gt;F428),1,0)</x:f>
        <x:v>0</x:v>
      </x:c>
      <x:c r="P428" t="n">
        <x:f>IF(AND(M428=1,I428&gt;0),1,0)</x:f>
        <x:v>0</x:v>
      </x:c>
      <x:c r="Q428" t="n">
        <x:f>IF(AND(B428&gt;=DATE(2026,7,1),B428&lt;=DATE(2026,9,30),G428&gt;=DATE(2026,10,1),G428&lt;=DATE(2026,10,7)),1,0)</x:f>
        <x:v>0</x:v>
      </x:c>
      <x:c r="R428" t="n">
        <x:f>IF(AND(B428&gt;=DATE(2026,7,1),B428&lt;=DATE(2026,9,30),G428&gt;DATE(2026,10,7)),1,0)</x:f>
        <x:v>1</x:v>
      </x:c>
      <x:c r="S428" t="n">
        <x:f>IF(AND(M428=1,J428&lt;&gt;"Ninguna"),1,0)</x:f>
        <x:v>0</x:v>
      </x:c>
    </x:row>
    <x:row r="429">
      <x:c r="A429" t="str">
        <x:v>PED-0428</x:v>
      </x:c>
      <x:c r="B429" s="12" t="n">
        <x:v>46244</x:v>
      </x:c>
      <x:c r="C429" t="str">
        <x:v>MetalNova</x:v>
      </x:c>
      <x:c r="D429" t="str">
        <x:v>Materia prima</x:v>
      </x:c>
      <x:c r="E429" s="10" t="n">
        <x:v>1304.91</x:v>
      </x:c>
      <x:c r="F429" s="12" t="n">
        <x:v>46253</x:v>
      </x:c>
      <x:c r="G429" s="12" t="n">
        <x:v>46254</x:v>
      </x:c>
      <x:c r="H429" t="n">
        <x:v>66</x:v>
      </x:c>
      <x:c r="I429" t="n">
        <x:v>0</x:v>
      </x:c>
      <x:c r="J429" t="str">
        <x:v>Ninguna</x:v>
      </x:c>
      <x:c r="K429" t="str">
        <x:v>No</x:v>
      </x:c>
      <x:c r="L429" t="str">
        <x:v>Valencia</x:v>
      </x:c>
      <x:c r="M429" t="n">
        <x:f>IF(AND(B429&gt;=DATE(2026,7,1),B429&lt;=DATE(2026,9,30),G429&gt;=DATE(2026,7,1),G429&lt;=DATE(2026,9,30)),1,0)</x:f>
        <x:v>1</x:v>
      </x:c>
      <x:c r="N429" t="n">
        <x:f>IF(M429=1,IF(G429&lt;=F429,1,0),0)</x:f>
        <x:v>0</x:v>
      </x:c>
      <x:c r="O429" t="n">
        <x:f>IF(AND(M429=1,K429="Sí",G429&gt;F429),1,0)</x:f>
        <x:v>0</x:v>
      </x:c>
      <x:c r="P429" t="n">
        <x:f>IF(AND(M429=1,I429&gt;0),1,0)</x:f>
        <x:v>0</x:v>
      </x:c>
      <x:c r="Q429" t="n">
        <x:f>IF(AND(B429&gt;=DATE(2026,7,1),B429&lt;=DATE(2026,9,30),G429&gt;=DATE(2026,10,1),G429&lt;=DATE(2026,10,7)),1,0)</x:f>
        <x:v>0</x:v>
      </x:c>
      <x:c r="R429" t="n">
        <x:f>IF(AND(B429&gt;=DATE(2026,7,1),B429&lt;=DATE(2026,9,30),G429&gt;DATE(2026,10,7)),1,0)</x:f>
        <x:v>0</x:v>
      </x:c>
      <x:c r="S429" t="n">
        <x:f>IF(AND(M429=1,J429&lt;&gt;"Ninguna"),1,0)</x:f>
        <x:v>0</x:v>
      </x:c>
    </x:row>
    <x:row r="430">
      <x:c r="A430" t="str">
        <x:v>PED-0429</x:v>
      </x:c>
      <x:c r="B430" s="12" t="n">
        <x:v>46258</x:v>
      </x:c>
      <x:c r="C430" t="str">
        <x:v>OfiPlus</x:v>
      </x:c>
      <x:c r="D430" t="str">
        <x:v>Consumibles</x:v>
      </x:c>
      <x:c r="E430" s="10" t="n">
        <x:v>1783.77</x:v>
      </x:c>
      <x:c r="F430" s="12" t="n">
        <x:v>46262</x:v>
      </x:c>
      <x:c r="G430" s="12" t="n">
        <x:v>46263</x:v>
      </x:c>
      <x:c r="H430" t="n">
        <x:v>206</x:v>
      </x:c>
      <x:c r="I430" t="n">
        <x:v>0</x:v>
      </x:c>
      <x:c r="J430" t="str">
        <x:v>Ninguna</x:v>
      </x:c>
      <x:c r="K430" t="str">
        <x:v>No</x:v>
      </x:c>
      <x:c r="L430" t="str">
        <x:v>Valencia</x:v>
      </x:c>
      <x:c r="M430" t="n">
        <x:f>IF(AND(B430&gt;=DATE(2026,7,1),B430&lt;=DATE(2026,9,30),G430&gt;=DATE(2026,7,1),G430&lt;=DATE(2026,9,30)),1,0)</x:f>
        <x:v>1</x:v>
      </x:c>
      <x:c r="N430" t="n">
        <x:f>IF(M430=1,IF(G430&lt;=F430,1,0),0)</x:f>
        <x:v>0</x:v>
      </x:c>
      <x:c r="O430" t="n">
        <x:f>IF(AND(M430=1,K430="Sí",G430&gt;F430),1,0)</x:f>
        <x:v>0</x:v>
      </x:c>
      <x:c r="P430" t="n">
        <x:f>IF(AND(M430=1,I430&gt;0),1,0)</x:f>
        <x:v>0</x:v>
      </x:c>
      <x:c r="Q430" t="n">
        <x:f>IF(AND(B430&gt;=DATE(2026,7,1),B430&lt;=DATE(2026,9,30),G430&gt;=DATE(2026,10,1),G430&lt;=DATE(2026,10,7)),1,0)</x:f>
        <x:v>0</x:v>
      </x:c>
      <x:c r="R430" t="n">
        <x:f>IF(AND(B430&gt;=DATE(2026,7,1),B430&lt;=DATE(2026,9,30),G430&gt;DATE(2026,10,7)),1,0)</x:f>
        <x:v>0</x:v>
      </x:c>
      <x:c r="S430" t="n">
        <x:f>IF(AND(M430=1,J430&lt;&gt;"Ninguna"),1,0)</x:f>
        <x:v>0</x:v>
      </x:c>
    </x:row>
    <x:row r="431">
      <x:c r="A431" t="str">
        <x:v>PED-0430</x:v>
      </x:c>
      <x:c r="B431" s="12" t="n">
        <x:v>46258</x:v>
      </x:c>
      <x:c r="C431" t="str">
        <x:v>MecaParts</x:v>
      </x:c>
      <x:c r="D431" t="str">
        <x:v>Componentes mecánicos</x:v>
      </x:c>
      <x:c r="E431" s="10" t="n">
        <x:v>7455.13</x:v>
      </x:c>
      <x:c r="F431" s="12" t="n">
        <x:v>46267</x:v>
      </x:c>
      <x:c r="G431" s="12" t="n">
        <x:v>46271</x:v>
      </x:c>
      <x:c r="H431" t="n">
        <x:v>180</x:v>
      </x:c>
      <x:c r="I431" t="n">
        <x:v>0</x:v>
      </x:c>
      <x:c r="J431" t="str">
        <x:v>Ninguna</x:v>
      </x:c>
      <x:c r="K431" t="str">
        <x:v>No</x:v>
      </x:c>
      <x:c r="L431" t="str">
        <x:v>Zaragoza</x:v>
      </x:c>
      <x:c r="M431" t="n">
        <x:f>IF(AND(B431&gt;=DATE(2026,7,1),B431&lt;=DATE(2026,9,30),G431&gt;=DATE(2026,7,1),G431&lt;=DATE(2026,9,30)),1,0)</x:f>
        <x:v>1</x:v>
      </x:c>
      <x:c r="N431" t="n">
        <x:f>IF(M431=1,IF(G431&lt;=F431,1,0),0)</x:f>
        <x:v>0</x:v>
      </x:c>
      <x:c r="O431" t="n">
        <x:f>IF(AND(M431=1,K431="Sí",G431&gt;F431),1,0)</x:f>
        <x:v>0</x:v>
      </x:c>
      <x:c r="P431" t="n">
        <x:f>IF(AND(M431=1,I431&gt;0),1,0)</x:f>
        <x:v>0</x:v>
      </x:c>
      <x:c r="Q431" t="n">
        <x:f>IF(AND(B431&gt;=DATE(2026,7,1),B431&lt;=DATE(2026,9,30),G431&gt;=DATE(2026,10,1),G431&lt;=DATE(2026,10,7)),1,0)</x:f>
        <x:v>0</x:v>
      </x:c>
      <x:c r="R431" t="n">
        <x:f>IF(AND(B431&gt;=DATE(2026,7,1),B431&lt;=DATE(2026,9,30),G431&gt;DATE(2026,10,7)),1,0)</x:f>
        <x:v>0</x:v>
      </x:c>
      <x:c r="S431" t="n">
        <x:f>IF(AND(M431=1,J431&lt;&gt;"Ninguna"),1,0)</x:f>
        <x:v>0</x:v>
      </x:c>
    </x:row>
    <x:row r="432">
      <x:c r="A432" t="str">
        <x:v>PED-0431</x:v>
      </x:c>
      <x:c r="B432" s="12" t="n">
        <x:v>46230</x:v>
      </x:c>
      <x:c r="C432" t="str">
        <x:v>MetalNova</x:v>
      </x:c>
      <x:c r="D432" t="str">
        <x:v>Componentes mecánicos</x:v>
      </x:c>
      <x:c r="E432" s="10" t="n">
        <x:v>5735.54</x:v>
      </x:c>
      <x:c r="F432" s="12" t="n">
        <x:v>46241</x:v>
      </x:c>
      <x:c r="G432" s="12" t="n">
        <x:v>46243</x:v>
      </x:c>
      <x:c r="H432" t="n">
        <x:v>126</x:v>
      </x:c>
      <x:c r="I432" t="n">
        <x:v>6</x:v>
      </x:c>
      <x:c r="J432" t="str">
        <x:v>Ninguna</x:v>
      </x:c>
      <x:c r="K432" t="str">
        <x:v>No</x:v>
      </x:c>
      <x:c r="L432" t="str">
        <x:v>Zaragoza</x:v>
      </x:c>
      <x:c r="M432" t="n">
        <x:f>IF(AND(B432&gt;=DATE(2026,7,1),B432&lt;=DATE(2026,9,30),G432&gt;=DATE(2026,7,1),G432&lt;=DATE(2026,9,30)),1,0)</x:f>
        <x:v>1</x:v>
      </x:c>
      <x:c r="N432" t="n">
        <x:f>IF(M432=1,IF(G432&lt;=F432,1,0),0)</x:f>
        <x:v>0</x:v>
      </x:c>
      <x:c r="O432" t="n">
        <x:f>IF(AND(M432=1,K432="Sí",G432&gt;F432),1,0)</x:f>
        <x:v>0</x:v>
      </x:c>
      <x:c r="P432" t="n">
        <x:f>IF(AND(M432=1,I432&gt;0),1,0)</x:f>
        <x:v>1</x:v>
      </x:c>
      <x:c r="Q432" t="n">
        <x:f>IF(AND(B432&gt;=DATE(2026,7,1),B432&lt;=DATE(2026,9,30),G432&gt;=DATE(2026,10,1),G432&lt;=DATE(2026,10,7)),1,0)</x:f>
        <x:v>0</x:v>
      </x:c>
      <x:c r="R432" t="n">
        <x:f>IF(AND(B432&gt;=DATE(2026,7,1),B432&lt;=DATE(2026,9,30),G432&gt;DATE(2026,10,7)),1,0)</x:f>
        <x:v>0</x:v>
      </x:c>
      <x:c r="S432" t="n">
        <x:f>IF(AND(M432=1,J432&lt;&gt;"Ninguna"),1,0)</x:f>
        <x:v>0</x:v>
      </x:c>
    </x:row>
    <x:row r="433">
      <x:c r="A433" t="str">
        <x:v>PED-0432</x:v>
      </x:c>
      <x:c r="B433" s="12" t="n">
        <x:v>46224</x:v>
      </x:c>
      <x:c r="C433" t="str">
        <x:v>OfiPlus</x:v>
      </x:c>
      <x:c r="D433" t="str">
        <x:v>Consumibles</x:v>
      </x:c>
      <x:c r="E433" s="10" t="n">
        <x:v>17902.06</x:v>
      </x:c>
      <x:c r="F433" s="12" t="n">
        <x:v>46228</x:v>
      </x:c>
      <x:c r="G433" s="12" t="n">
        <x:v>46226</x:v>
      </x:c>
      <x:c r="H433" t="n">
        <x:v>387</x:v>
      </x:c>
      <x:c r="I433" t="n">
        <x:v>0</x:v>
      </x:c>
      <x:c r="J433" t="str">
        <x:v>Ninguna</x:v>
      </x:c>
      <x:c r="K433" t="str">
        <x:v>No</x:v>
      </x:c>
      <x:c r="L433" t="str">
        <x:v>Valencia</x:v>
      </x:c>
      <x:c r="M433" t="n">
        <x:f>IF(AND(B433&gt;=DATE(2026,7,1),B433&lt;=DATE(2026,9,30),G433&gt;=DATE(2026,7,1),G433&lt;=DATE(2026,9,30)),1,0)</x:f>
        <x:v>1</x:v>
      </x:c>
      <x:c r="N433" t="n">
        <x:f>IF(M433=1,IF(G433&lt;=F433,1,0),0)</x:f>
        <x:v>1</x:v>
      </x:c>
      <x:c r="O433" t="n">
        <x:f>IF(AND(M433=1,K433="Sí",G433&gt;F433),1,0)</x:f>
        <x:v>0</x:v>
      </x:c>
      <x:c r="P433" t="n">
        <x:f>IF(AND(M433=1,I433&gt;0),1,0)</x:f>
        <x:v>0</x:v>
      </x:c>
      <x:c r="Q433" t="n">
        <x:f>IF(AND(B433&gt;=DATE(2026,7,1),B433&lt;=DATE(2026,9,30),G433&gt;=DATE(2026,10,1),G433&lt;=DATE(2026,10,7)),1,0)</x:f>
        <x:v>0</x:v>
      </x:c>
      <x:c r="R433" t="n">
        <x:f>IF(AND(B433&gt;=DATE(2026,7,1),B433&lt;=DATE(2026,9,30),G433&gt;DATE(2026,10,7)),1,0)</x:f>
        <x:v>0</x:v>
      </x:c>
      <x:c r="S433" t="n">
        <x:f>IF(AND(M433=1,J433&lt;&gt;"Ninguna"),1,0)</x:f>
        <x:v>0</x:v>
      </x:c>
    </x:row>
    <x:row r="434">
      <x:c r="A434" t="str">
        <x:v>PED-0433</x:v>
      </x:c>
      <x:c r="B434" s="12" t="n">
        <x:v>46267</x:v>
      </x:c>
      <x:c r="C434" t="str">
        <x:v>OfiPlus</x:v>
      </x:c>
      <x:c r="D434" t="str">
        <x:v>Consumibles</x:v>
      </x:c>
      <x:c r="E434" s="10" t="n">
        <x:v>5658.02</x:v>
      </x:c>
      <x:c r="F434" s="12" t="n">
        <x:v>46272</x:v>
      </x:c>
      <x:c r="G434" s="12" t="n">
        <x:v>46273</x:v>
      </x:c>
      <x:c r="H434" t="n">
        <x:v>138</x:v>
      </x:c>
      <x:c r="I434" t="n">
        <x:v>0</x:v>
      </x:c>
      <x:c r="J434" t="str">
        <x:v>Cantidad incorrecta</x:v>
      </x:c>
      <x:c r="K434" t="str">
        <x:v>Sí</x:v>
      </x:c>
      <x:c r="L434" t="str">
        <x:v>Barcelona</x:v>
      </x:c>
      <x:c r="M434" t="n">
        <x:f>IF(AND(B434&gt;=DATE(2026,7,1),B434&lt;=DATE(2026,9,30),G434&gt;=DATE(2026,7,1),G434&lt;=DATE(2026,9,30)),1,0)</x:f>
        <x:v>1</x:v>
      </x:c>
      <x:c r="N434" t="n">
        <x:f>IF(M434=1,IF(G434&lt;=F434,1,0),0)</x:f>
        <x:v>0</x:v>
      </x:c>
      <x:c r="O434" t="n">
        <x:f>IF(AND(M434=1,K434="Sí",G434&gt;F434),1,0)</x:f>
        <x:v>1</x:v>
      </x:c>
      <x:c r="P434" t="n">
        <x:f>IF(AND(M434=1,I434&gt;0),1,0)</x:f>
        <x:v>0</x:v>
      </x:c>
      <x:c r="Q434" t="n">
        <x:f>IF(AND(B434&gt;=DATE(2026,7,1),B434&lt;=DATE(2026,9,30),G434&gt;=DATE(2026,10,1),G434&lt;=DATE(2026,10,7)),1,0)</x:f>
        <x:v>0</x:v>
      </x:c>
      <x:c r="R434" t="n">
        <x:f>IF(AND(B434&gt;=DATE(2026,7,1),B434&lt;=DATE(2026,9,30),G434&gt;DATE(2026,10,7)),1,0)</x:f>
        <x:v>0</x:v>
      </x:c>
      <x:c r="S434" t="n">
        <x:f>IF(AND(M434=1,J434&lt;&gt;"Ninguna"),1,0)</x:f>
        <x:v>1</x:v>
      </x:c>
    </x:row>
    <x:row r="435">
      <x:c r="A435" t="str">
        <x:v>PED-0434</x:v>
      </x:c>
      <x:c r="B435" s="12" t="n">
        <x:v>46215</x:v>
      </x:c>
      <x:c r="C435" t="str">
        <x:v>MecaParts</x:v>
      </x:c>
      <x:c r="D435" t="str">
        <x:v>Componentes mecánicos</x:v>
      </x:c>
      <x:c r="E435" s="10" t="n">
        <x:v>2141.95</x:v>
      </x:c>
      <x:c r="F435" s="12" t="n">
        <x:v>46224</x:v>
      </x:c>
      <x:c r="G435" s="12" t="n">
        <x:v>46231</x:v>
      </x:c>
      <x:c r="H435" t="n">
        <x:v>46</x:v>
      </x:c>
      <x:c r="I435" t="n">
        <x:v>0</x:v>
      </x:c>
      <x:c r="J435" t="str">
        <x:v>Retraso</x:v>
      </x:c>
      <x:c r="K435" t="str">
        <x:v>No</x:v>
      </x:c>
      <x:c r="L435" t="str">
        <x:v>Zaragoza</x:v>
      </x:c>
      <x:c r="M435" t="n">
        <x:f>IF(AND(B435&gt;=DATE(2026,7,1),B435&lt;=DATE(2026,9,30),G435&gt;=DATE(2026,7,1),G435&lt;=DATE(2026,9,30)),1,0)</x:f>
        <x:v>1</x:v>
      </x:c>
      <x:c r="N435" t="n">
        <x:f>IF(M435=1,IF(G435&lt;=F435,1,0),0)</x:f>
        <x:v>0</x:v>
      </x:c>
      <x:c r="O435" t="n">
        <x:f>IF(AND(M435=1,K435="Sí",G435&gt;F435),1,0)</x:f>
        <x:v>0</x:v>
      </x:c>
      <x:c r="P435" t="n">
        <x:f>IF(AND(M435=1,I435&gt;0),1,0)</x:f>
        <x:v>0</x:v>
      </x:c>
      <x:c r="Q435" t="n">
        <x:f>IF(AND(B435&gt;=DATE(2026,7,1),B435&lt;=DATE(2026,9,30),G435&gt;=DATE(2026,10,1),G435&lt;=DATE(2026,10,7)),1,0)</x:f>
        <x:v>0</x:v>
      </x:c>
      <x:c r="R435" t="n">
        <x:f>IF(AND(B435&gt;=DATE(2026,7,1),B435&lt;=DATE(2026,9,30),G435&gt;DATE(2026,10,7)),1,0)</x:f>
        <x:v>0</x:v>
      </x:c>
      <x:c r="S435" t="n">
        <x:f>IF(AND(M435=1,J435&lt;&gt;"Ninguna"),1,0)</x:f>
        <x:v>1</x:v>
      </x:c>
    </x:row>
    <x:row r="436">
      <x:c r="A436" t="str">
        <x:v>PED-0435</x:v>
      </x:c>
      <x:c r="B436" s="12" t="n">
        <x:v>46213</x:v>
      </x:c>
      <x:c r="C436" t="str">
        <x:v>OfiPlus</x:v>
      </x:c>
      <x:c r="D436" t="str">
        <x:v>Consumibles</x:v>
      </x:c>
      <x:c r="E436" s="10" t="n">
        <x:v>8253.49</x:v>
      </x:c>
      <x:c r="F436" s="12" t="n">
        <x:v>46217</x:v>
      </x:c>
      <x:c r="G436" s="12" t="n">
        <x:v>46215</x:v>
      </x:c>
      <x:c r="H436" t="n">
        <x:v>318</x:v>
      </x:c>
      <x:c r="I436" t="n">
        <x:v>0</x:v>
      </x:c>
      <x:c r="J436" t="str">
        <x:v>Ninguna</x:v>
      </x:c>
      <x:c r="K436" t="str">
        <x:v>No</x:v>
      </x:c>
      <x:c r="L436" t="str">
        <x:v>Zaragoza</x:v>
      </x:c>
      <x:c r="M436" t="n">
        <x:f>IF(AND(B436&gt;=DATE(2026,7,1),B436&lt;=DATE(2026,9,30),G436&gt;=DATE(2026,7,1),G436&lt;=DATE(2026,9,30)),1,0)</x:f>
        <x:v>1</x:v>
      </x:c>
      <x:c r="N436" t="n">
        <x:f>IF(M436=1,IF(G436&lt;=F436,1,0),0)</x:f>
        <x:v>1</x:v>
      </x:c>
      <x:c r="O436" t="n">
        <x:f>IF(AND(M436=1,K436="Sí",G436&gt;F436),1,0)</x:f>
        <x:v>0</x:v>
      </x:c>
      <x:c r="P436" t="n">
        <x:f>IF(AND(M436=1,I436&gt;0),1,0)</x:f>
        <x:v>0</x:v>
      </x:c>
      <x:c r="Q436" t="n">
        <x:f>IF(AND(B436&gt;=DATE(2026,7,1),B436&lt;=DATE(2026,9,30),G436&gt;=DATE(2026,10,1),G436&lt;=DATE(2026,10,7)),1,0)</x:f>
        <x:v>0</x:v>
      </x:c>
      <x:c r="R436" t="n">
        <x:f>IF(AND(B436&gt;=DATE(2026,7,1),B436&lt;=DATE(2026,9,30),G436&gt;DATE(2026,10,7)),1,0)</x:f>
        <x:v>0</x:v>
      </x:c>
      <x:c r="S436" t="n">
        <x:f>IF(AND(M436=1,J436&lt;&gt;"Ninguna"),1,0)</x:f>
        <x:v>0</x:v>
      </x:c>
    </x:row>
    <x:row r="437">
      <x:c r="A437" t="str">
        <x:v>PED-0436</x:v>
      </x:c>
      <x:c r="B437" s="12" t="n">
        <x:v>46213</x:v>
      </x:c>
      <x:c r="C437" t="str">
        <x:v>PackPro</x:v>
      </x:c>
      <x:c r="D437" t="str">
        <x:v>Embalaje</x:v>
      </x:c>
      <x:c r="E437" s="10" t="n">
        <x:v>183.97</x:v>
      </x:c>
      <x:c r="F437" s="12" t="n">
        <x:v>46220</x:v>
      </x:c>
      <x:c r="G437" s="12" t="n">
        <x:v>46218</x:v>
      </x:c>
      <x:c r="H437" t="n">
        <x:v>21</x:v>
      </x:c>
      <x:c r="I437" t="n">
        <x:v>0</x:v>
      </x:c>
      <x:c r="J437" t="str">
        <x:v>Ninguna</x:v>
      </x:c>
      <x:c r="K437" t="str">
        <x:v>No</x:v>
      </x:c>
      <x:c r="L437" t="str">
        <x:v>Zaragoza</x:v>
      </x:c>
      <x:c r="M437" t="n">
        <x:f>IF(AND(B437&gt;=DATE(2026,7,1),B437&lt;=DATE(2026,9,30),G437&gt;=DATE(2026,7,1),G437&lt;=DATE(2026,9,30)),1,0)</x:f>
        <x:v>1</x:v>
      </x:c>
      <x:c r="N437" t="n">
        <x:f>IF(M437=1,IF(G437&lt;=F437,1,0),0)</x:f>
        <x:v>1</x:v>
      </x:c>
      <x:c r="O437" t="n">
        <x:f>IF(AND(M437=1,K437="Sí",G437&gt;F437),1,0)</x:f>
        <x:v>0</x:v>
      </x:c>
      <x:c r="P437" t="n">
        <x:f>IF(AND(M437=1,I437&gt;0),1,0)</x:f>
        <x:v>0</x:v>
      </x:c>
      <x:c r="Q437" t="n">
        <x:f>IF(AND(B437&gt;=DATE(2026,7,1),B437&lt;=DATE(2026,9,30),G437&gt;=DATE(2026,10,1),G437&lt;=DATE(2026,10,7)),1,0)</x:f>
        <x:v>0</x:v>
      </x:c>
      <x:c r="R437" t="n">
        <x:f>IF(AND(B437&gt;=DATE(2026,7,1),B437&lt;=DATE(2026,9,30),G437&gt;DATE(2026,10,7)),1,0)</x:f>
        <x:v>0</x:v>
      </x:c>
      <x:c r="S437" t="n">
        <x:f>IF(AND(M437=1,J437&lt;&gt;"Ninguna"),1,0)</x:f>
        <x:v>0</x:v>
      </x:c>
    </x:row>
    <x:row r="438">
      <x:c r="A438" t="str">
        <x:v>PED-0437</x:v>
      </x:c>
      <x:c r="B438" s="12" t="n">
        <x:v>46227</x:v>
      </x:c>
      <x:c r="C438" t="str">
        <x:v>ElectraSupply</x:v>
      </x:c>
      <x:c r="D438" t="str">
        <x:v>Componentes eléctricos</x:v>
      </x:c>
      <x:c r="E438" s="10" t="n">
        <x:v>3965.42</x:v>
      </x:c>
      <x:c r="F438" s="12" t="n">
        <x:v>46239</x:v>
      </x:c>
      <x:c r="G438" s="12" t="n">
        <x:v>46242</x:v>
      </x:c>
      <x:c r="H438" t="n">
        <x:v>125</x:v>
      </x:c>
      <x:c r="I438" t="n">
        <x:v>0</x:v>
      </x:c>
      <x:c r="J438" t="str">
        <x:v>Ninguna</x:v>
      </x:c>
      <x:c r="K438" t="str">
        <x:v>No</x:v>
      </x:c>
      <x:c r="L438" t="str">
        <x:v>Barcelona</x:v>
      </x:c>
      <x:c r="M438" t="n">
        <x:f>IF(AND(B438&gt;=DATE(2026,7,1),B438&lt;=DATE(2026,9,30),G438&gt;=DATE(2026,7,1),G438&lt;=DATE(2026,9,30)),1,0)</x:f>
        <x:v>1</x:v>
      </x:c>
      <x:c r="N438" t="n">
        <x:f>IF(M438=1,IF(G438&lt;=F438,1,0),0)</x:f>
        <x:v>0</x:v>
      </x:c>
      <x:c r="O438" t="n">
        <x:f>IF(AND(M438=1,K438="Sí",G438&gt;F438),1,0)</x:f>
        <x:v>0</x:v>
      </x:c>
      <x:c r="P438" t="n">
        <x:f>IF(AND(M438=1,I438&gt;0),1,0)</x:f>
        <x:v>0</x:v>
      </x:c>
      <x:c r="Q438" t="n">
        <x:f>IF(AND(B438&gt;=DATE(2026,7,1),B438&lt;=DATE(2026,9,30),G438&gt;=DATE(2026,10,1),G438&lt;=DATE(2026,10,7)),1,0)</x:f>
        <x:v>0</x:v>
      </x:c>
      <x:c r="R438" t="n">
        <x:f>IF(AND(B438&gt;=DATE(2026,7,1),B438&lt;=DATE(2026,9,30),G438&gt;DATE(2026,10,7)),1,0)</x:f>
        <x:v>0</x:v>
      </x:c>
      <x:c r="S438" t="n">
        <x:f>IF(AND(M438=1,J438&lt;&gt;"Ninguna"),1,0)</x:f>
        <x:v>0</x:v>
      </x:c>
    </x:row>
    <x:row r="439">
      <x:c r="A439" t="str">
        <x:v>PED-0438</x:v>
      </x:c>
      <x:c r="B439" s="12" t="n">
        <x:v>46237</x:v>
      </x:c>
      <x:c r="C439" t="str">
        <x:v>PackPro</x:v>
      </x:c>
      <x:c r="D439" t="str">
        <x:v>Embalaje</x:v>
      </x:c>
      <x:c r="E439" s="10" t="n">
        <x:v>517.87</x:v>
      </x:c>
      <x:c r="F439" s="12" t="n">
        <x:v>46244</x:v>
      </x:c>
      <x:c r="G439" s="12" t="n">
        <x:v>46245</x:v>
      </x:c>
      <x:c r="H439" t="n">
        <x:v>105</x:v>
      </x:c>
      <x:c r="I439" t="n">
        <x:v>0</x:v>
      </x:c>
      <x:c r="J439" t="str">
        <x:v>Ninguna</x:v>
      </x:c>
      <x:c r="K439" t="str">
        <x:v>No</x:v>
      </x:c>
      <x:c r="L439" t="str">
        <x:v>Barcelona</x:v>
      </x:c>
      <x:c r="M439" t="n">
        <x:f>IF(AND(B439&gt;=DATE(2026,7,1),B439&lt;=DATE(2026,9,30),G439&gt;=DATE(2026,7,1),G439&lt;=DATE(2026,9,30)),1,0)</x:f>
        <x:v>1</x:v>
      </x:c>
      <x:c r="N439" t="n">
        <x:f>IF(M439=1,IF(G439&lt;=F439,1,0),0)</x:f>
        <x:v>0</x:v>
      </x:c>
      <x:c r="O439" t="n">
        <x:f>IF(AND(M439=1,K439="Sí",G439&gt;F439),1,0)</x:f>
        <x:v>0</x:v>
      </x:c>
      <x:c r="P439" t="n">
        <x:f>IF(AND(M439=1,I439&gt;0),1,0)</x:f>
        <x:v>0</x:v>
      </x:c>
      <x:c r="Q439" t="n">
        <x:f>IF(AND(B439&gt;=DATE(2026,7,1),B439&lt;=DATE(2026,9,30),G439&gt;=DATE(2026,10,1),G439&lt;=DATE(2026,10,7)),1,0)</x:f>
        <x:v>0</x:v>
      </x:c>
      <x:c r="R439" t="n">
        <x:f>IF(AND(B439&gt;=DATE(2026,7,1),B439&lt;=DATE(2026,9,30),G439&gt;DATE(2026,10,7)),1,0)</x:f>
        <x:v>0</x:v>
      </x:c>
      <x:c r="S439" t="n">
        <x:f>IF(AND(M439=1,J439&lt;&gt;"Ninguna"),1,0)</x:f>
        <x:v>0</x:v>
      </x:c>
    </x:row>
    <x:row r="440">
      <x:c r="A440" t="str">
        <x:v>PED-0439</x:v>
      </x:c>
      <x:c r="B440" s="12" t="n">
        <x:v>46224</x:v>
      </x:c>
      <x:c r="C440" t="str">
        <x:v>ElectraSupply</x:v>
      </x:c>
      <x:c r="D440" t="str">
        <x:v>Componentes eléctricos</x:v>
      </x:c>
      <x:c r="E440" s="10" t="n">
        <x:v>1415.48</x:v>
      </x:c>
      <x:c r="F440" s="12" t="n">
        <x:v>46237</x:v>
      </x:c>
      <x:c r="G440" s="12" t="n">
        <x:v>46240</x:v>
      </x:c>
      <x:c r="H440" t="n">
        <x:v>83</x:v>
      </x:c>
      <x:c r="I440" t="n">
        <x:v>0</x:v>
      </x:c>
      <x:c r="J440" t="str">
        <x:v>Ninguna</x:v>
      </x:c>
      <x:c r="K440" t="str">
        <x:v>No</x:v>
      </x:c>
      <x:c r="L440" t="str">
        <x:v>Valencia</x:v>
      </x:c>
      <x:c r="M440" t="n">
        <x:f>IF(AND(B440&gt;=DATE(2026,7,1),B440&lt;=DATE(2026,9,30),G440&gt;=DATE(2026,7,1),G440&lt;=DATE(2026,9,30)),1,0)</x:f>
        <x:v>1</x:v>
      </x:c>
      <x:c r="N440" t="n">
        <x:f>IF(M440=1,IF(G440&lt;=F440,1,0),0)</x:f>
        <x:v>0</x:v>
      </x:c>
      <x:c r="O440" t="n">
        <x:f>IF(AND(M440=1,K440="Sí",G440&gt;F440),1,0)</x:f>
        <x:v>0</x:v>
      </x:c>
      <x:c r="P440" t="n">
        <x:f>IF(AND(M440=1,I440&gt;0),1,0)</x:f>
        <x:v>0</x:v>
      </x:c>
      <x:c r="Q440" t="n">
        <x:f>IF(AND(B440&gt;=DATE(2026,7,1),B440&lt;=DATE(2026,9,30),G440&gt;=DATE(2026,10,1),G440&lt;=DATE(2026,10,7)),1,0)</x:f>
        <x:v>0</x:v>
      </x:c>
      <x:c r="R440" t="n">
        <x:f>IF(AND(B440&gt;=DATE(2026,7,1),B440&lt;=DATE(2026,9,30),G440&gt;DATE(2026,10,7)),1,0)</x:f>
        <x:v>0</x:v>
      </x:c>
      <x:c r="S440" t="n">
        <x:f>IF(AND(M440=1,J440&lt;&gt;"Ninguna"),1,0)</x:f>
        <x:v>0</x:v>
      </x:c>
    </x:row>
    <x:row r="441">
      <x:c r="A441" t="str">
        <x:v>PED-0440</x:v>
      </x:c>
      <x:c r="B441" s="12" t="n">
        <x:v>46241</x:v>
      </x:c>
      <x:c r="C441" t="str">
        <x:v>PackPro</x:v>
      </x:c>
      <x:c r="D441" t="str">
        <x:v>Embalaje</x:v>
      </x:c>
      <x:c r="E441" s="10" t="n">
        <x:v>11733.01</x:v>
      </x:c>
      <x:c r="F441" s="12" t="n">
        <x:v>46249</x:v>
      </x:c>
      <x:c r="G441" s="12" t="n">
        <x:v>46251</x:v>
      </x:c>
      <x:c r="H441" t="n">
        <x:v>274</x:v>
      </x:c>
      <x:c r="I441" t="n">
        <x:v>0</x:v>
      </x:c>
      <x:c r="J441" t="str">
        <x:v>Ninguna</x:v>
      </x:c>
      <x:c r="K441" t="str">
        <x:v>No</x:v>
      </x:c>
      <x:c r="L441" t="str">
        <x:v>Zaragoza</x:v>
      </x:c>
      <x:c r="M441" t="n">
        <x:f>IF(AND(B441&gt;=DATE(2026,7,1),B441&lt;=DATE(2026,9,30),G441&gt;=DATE(2026,7,1),G441&lt;=DATE(2026,9,30)),1,0)</x:f>
        <x:v>1</x:v>
      </x:c>
      <x:c r="N441" t="n">
        <x:f>IF(M441=1,IF(G441&lt;=F441,1,0),0)</x:f>
        <x:v>0</x:v>
      </x:c>
      <x:c r="O441" t="n">
        <x:f>IF(AND(M441=1,K441="Sí",G441&gt;F441),1,0)</x:f>
        <x:v>0</x:v>
      </x:c>
      <x:c r="P441" t="n">
        <x:f>IF(AND(M441=1,I441&gt;0),1,0)</x:f>
        <x:v>0</x:v>
      </x:c>
      <x:c r="Q441" t="n">
        <x:f>IF(AND(B441&gt;=DATE(2026,7,1),B441&lt;=DATE(2026,9,30),G441&gt;=DATE(2026,10,1),G441&lt;=DATE(2026,10,7)),1,0)</x:f>
        <x:v>0</x:v>
      </x:c>
      <x:c r="R441" t="n">
        <x:f>IF(AND(B441&gt;=DATE(2026,7,1),B441&lt;=DATE(2026,9,30),G441&gt;DATE(2026,10,7)),1,0)</x:f>
        <x:v>0</x:v>
      </x:c>
      <x:c r="S441" t="n">
        <x:f>IF(AND(M441=1,J441&lt;&gt;"Ninguna"),1,0)</x:f>
        <x:v>0</x:v>
      </x:c>
    </x:row>
    <x:row r="442">
      <x:c r="A442" t="str">
        <x:v>PED-0441</x:v>
      </x:c>
      <x:c r="B442" s="12" t="n">
        <x:v>46230</x:v>
      </x:c>
      <x:c r="C442" t="str">
        <x:v>ElectraSupply</x:v>
      </x:c>
      <x:c r="D442" t="str">
        <x:v>Componentes eléctricos</x:v>
      </x:c>
      <x:c r="E442" s="10" t="n">
        <x:v>1456.69</x:v>
      </x:c>
      <x:c r="F442" s="12" t="n">
        <x:v>46244</x:v>
      </x:c>
      <x:c r="G442" s="12" t="n">
        <x:v>46246</x:v>
      </x:c>
      <x:c r="H442" t="n">
        <x:v>297</x:v>
      </x:c>
      <x:c r="I442" t="n">
        <x:v>0</x:v>
      </x:c>
      <x:c r="J442" t="str">
        <x:v>Ninguna</x:v>
      </x:c>
      <x:c r="K442" t="str">
        <x:v>No</x:v>
      </x:c>
      <x:c r="L442" t="str">
        <x:v>Barcelona</x:v>
      </x:c>
      <x:c r="M442" t="n">
        <x:f>IF(AND(B442&gt;=DATE(2026,7,1),B442&lt;=DATE(2026,9,30),G442&gt;=DATE(2026,7,1),G442&lt;=DATE(2026,9,30)),1,0)</x:f>
        <x:v>1</x:v>
      </x:c>
      <x:c r="N442" t="n">
        <x:f>IF(M442=1,IF(G442&lt;=F442,1,0),0)</x:f>
        <x:v>0</x:v>
      </x:c>
      <x:c r="O442" t="n">
        <x:f>IF(AND(M442=1,K442="Sí",G442&gt;F442),1,0)</x:f>
        <x:v>0</x:v>
      </x:c>
      <x:c r="P442" t="n">
        <x:f>IF(AND(M442=1,I442&gt;0),1,0)</x:f>
        <x:v>0</x:v>
      </x:c>
      <x:c r="Q442" t="n">
        <x:f>IF(AND(B442&gt;=DATE(2026,7,1),B442&lt;=DATE(2026,9,30),G442&gt;=DATE(2026,10,1),G442&lt;=DATE(2026,10,7)),1,0)</x:f>
        <x:v>0</x:v>
      </x:c>
      <x:c r="R442" t="n">
        <x:f>IF(AND(B442&gt;=DATE(2026,7,1),B442&lt;=DATE(2026,9,30),G442&gt;DATE(2026,10,7)),1,0)</x:f>
        <x:v>0</x:v>
      </x:c>
      <x:c r="S442" t="n">
        <x:f>IF(AND(M442=1,J442&lt;&gt;"Ninguna"),1,0)</x:f>
        <x:v>0</x:v>
      </x:c>
    </x:row>
    <x:row r="443">
      <x:c r="A443" t="str">
        <x:v>PED-0442</x:v>
      </x:c>
      <x:c r="B443" s="12" t="n">
        <x:v>46265</x:v>
      </x:c>
      <x:c r="C443" t="str">
        <x:v>ElectraSupply</x:v>
      </x:c>
      <x:c r="D443" t="str">
        <x:v>Componentes eléctricos</x:v>
      </x:c>
      <x:c r="E443" s="10" t="n">
        <x:v>1420.04</x:v>
      </x:c>
      <x:c r="F443" s="12" t="n">
        <x:v>46276</x:v>
      </x:c>
      <x:c r="G443" s="12" t="n">
        <x:v>46283</x:v>
      </x:c>
      <x:c r="H443" t="n">
        <x:v>255</x:v>
      </x:c>
      <x:c r="I443" t="n">
        <x:v>0</x:v>
      </x:c>
      <x:c r="J443" t="str">
        <x:v>Ninguna</x:v>
      </x:c>
      <x:c r="K443" t="str">
        <x:v>No</x:v>
      </x:c>
      <x:c r="L443" t="str">
        <x:v>Valencia</x:v>
      </x:c>
      <x:c r="M443" t="n">
        <x:f>IF(AND(B443&gt;=DATE(2026,7,1),B443&lt;=DATE(2026,9,30),G443&gt;=DATE(2026,7,1),G443&lt;=DATE(2026,9,30)),1,0)</x:f>
        <x:v>1</x:v>
      </x:c>
      <x:c r="N443" t="n">
        <x:f>IF(M443=1,IF(G443&lt;=F443,1,0),0)</x:f>
        <x:v>0</x:v>
      </x:c>
      <x:c r="O443" t="n">
        <x:f>IF(AND(M443=1,K443="Sí",G443&gt;F443),1,0)</x:f>
        <x:v>0</x:v>
      </x:c>
      <x:c r="P443" t="n">
        <x:f>IF(AND(M443=1,I443&gt;0),1,0)</x:f>
        <x:v>0</x:v>
      </x:c>
      <x:c r="Q443" t="n">
        <x:f>IF(AND(B443&gt;=DATE(2026,7,1),B443&lt;=DATE(2026,9,30),G443&gt;=DATE(2026,10,1),G443&lt;=DATE(2026,10,7)),1,0)</x:f>
        <x:v>0</x:v>
      </x:c>
      <x:c r="R443" t="n">
        <x:f>IF(AND(B443&gt;=DATE(2026,7,1),B443&lt;=DATE(2026,9,30),G443&gt;DATE(2026,10,7)),1,0)</x:f>
        <x:v>0</x:v>
      </x:c>
      <x:c r="S443" t="n">
        <x:f>IF(AND(M443=1,J443&lt;&gt;"Ninguna"),1,0)</x:f>
        <x:v>0</x:v>
      </x:c>
    </x:row>
    <x:row r="444">
      <x:c r="A444" t="str">
        <x:v>PED-0443</x:v>
      </x:c>
      <x:c r="B444" s="12" t="n">
        <x:v>46235</x:v>
      </x:c>
      <x:c r="C444" t="str">
        <x:v>MetalNova</x:v>
      </x:c>
      <x:c r="D444" t="str">
        <x:v>Materia prima</x:v>
      </x:c>
      <x:c r="E444" s="10" t="n">
        <x:v>2067.71</x:v>
      </x:c>
      <x:c r="F444" s="12" t="n">
        <x:v>46247</x:v>
      </x:c>
      <x:c r="G444" s="12" t="n">
        <x:v>46248</x:v>
      </x:c>
      <x:c r="H444" t="n">
        <x:v>345</x:v>
      </x:c>
      <x:c r="I444" t="n">
        <x:v>50</x:v>
      </x:c>
      <x:c r="J444" t="str">
        <x:v>Calidad</x:v>
      </x:c>
      <x:c r="K444" t="str">
        <x:v>Sí</x:v>
      </x:c>
      <x:c r="L444" t="str">
        <x:v>Zaragoza</x:v>
      </x:c>
      <x:c r="M444" t="n">
        <x:f>IF(AND(B444&gt;=DATE(2026,7,1),B444&lt;=DATE(2026,9,30),G444&gt;=DATE(2026,7,1),G444&lt;=DATE(2026,9,30)),1,0)</x:f>
        <x:v>1</x:v>
      </x:c>
      <x:c r="N444" t="n">
        <x:f>IF(M444=1,IF(G444&lt;=F444,1,0),0)</x:f>
        <x:v>0</x:v>
      </x:c>
      <x:c r="O444" t="n">
        <x:f>IF(AND(M444=1,K444="Sí",G444&gt;F444),1,0)</x:f>
        <x:v>1</x:v>
      </x:c>
      <x:c r="P444" t="n">
        <x:f>IF(AND(M444=1,I444&gt;0),1,0)</x:f>
        <x:v>1</x:v>
      </x:c>
      <x:c r="Q444" t="n">
        <x:f>IF(AND(B444&gt;=DATE(2026,7,1),B444&lt;=DATE(2026,9,30),G444&gt;=DATE(2026,10,1),G444&lt;=DATE(2026,10,7)),1,0)</x:f>
        <x:v>0</x:v>
      </x:c>
      <x:c r="R444" t="n">
        <x:f>IF(AND(B444&gt;=DATE(2026,7,1),B444&lt;=DATE(2026,9,30),G444&gt;DATE(2026,10,7)),1,0)</x:f>
        <x:v>0</x:v>
      </x:c>
      <x:c r="S444" t="n">
        <x:f>IF(AND(M444=1,J444&lt;&gt;"Ninguna"),1,0)</x:f>
        <x:v>1</x:v>
      </x:c>
    </x:row>
    <x:row r="445">
      <x:c r="A445" t="str">
        <x:v>PED-0444</x:v>
      </x:c>
      <x:c r="B445" s="12" t="n">
        <x:v>46223</x:v>
      </x:c>
      <x:c r="C445" t="str">
        <x:v>PackPro</x:v>
      </x:c>
      <x:c r="D445" t="str">
        <x:v>Embalaje</x:v>
      </x:c>
      <x:c r="E445" s="10" t="n">
        <x:v>8094.74</x:v>
      </x:c>
      <x:c r="F445" s="12" t="n">
        <x:v>46231</x:v>
      </x:c>
      <x:c r="G445" s="12" t="n">
        <x:v>46238</x:v>
      </x:c>
      <x:c r="H445" t="n">
        <x:v>372</x:v>
      </x:c>
      <x:c r="I445" t="n">
        <x:v>0</x:v>
      </x:c>
      <x:c r="J445" t="str">
        <x:v>Retraso</x:v>
      </x:c>
      <x:c r="K445" t="str">
        <x:v>No</x:v>
      </x:c>
      <x:c r="L445" t="str">
        <x:v>Valencia</x:v>
      </x:c>
      <x:c r="M445" t="n">
        <x:f>IF(AND(B445&gt;=DATE(2026,7,1),B445&lt;=DATE(2026,9,30),G445&gt;=DATE(2026,7,1),G445&lt;=DATE(2026,9,30)),1,0)</x:f>
        <x:v>1</x:v>
      </x:c>
      <x:c r="N445" t="n">
        <x:f>IF(M445=1,IF(G445&lt;=F445,1,0),0)</x:f>
        <x:v>0</x:v>
      </x:c>
      <x:c r="O445" t="n">
        <x:f>IF(AND(M445=1,K445="Sí",G445&gt;F445),1,0)</x:f>
        <x:v>0</x:v>
      </x:c>
      <x:c r="P445" t="n">
        <x:f>IF(AND(M445=1,I445&gt;0),1,0)</x:f>
        <x:v>0</x:v>
      </x:c>
      <x:c r="Q445" t="n">
        <x:f>IF(AND(B445&gt;=DATE(2026,7,1),B445&lt;=DATE(2026,9,30),G445&gt;=DATE(2026,10,1),G445&lt;=DATE(2026,10,7)),1,0)</x:f>
        <x:v>0</x:v>
      </x:c>
      <x:c r="R445" t="n">
        <x:f>IF(AND(B445&gt;=DATE(2026,7,1),B445&lt;=DATE(2026,9,30),G445&gt;DATE(2026,10,7)),1,0)</x:f>
        <x:v>0</x:v>
      </x:c>
      <x:c r="S445" t="n">
        <x:f>IF(AND(M445=1,J445&lt;&gt;"Ninguna"),1,0)</x:f>
        <x:v>1</x:v>
      </x:c>
    </x:row>
    <x:row r="446">
      <x:c r="A446" t="str">
        <x:v>PED-0445</x:v>
      </x:c>
      <x:c r="B446" s="12" t="n">
        <x:v>46275</x:v>
      </x:c>
      <x:c r="C446" t="str">
        <x:v>MetalNova</x:v>
      </x:c>
      <x:c r="D446" t="str">
        <x:v>Componentes mecánicos</x:v>
      </x:c>
      <x:c r="E446" s="10" t="n">
        <x:v>9449.12</x:v>
      </x:c>
      <x:c r="F446" s="12" t="n">
        <x:v>46284</x:v>
      </x:c>
      <x:c r="G446" s="12" t="n">
        <x:v>46286</x:v>
      </x:c>
      <x:c r="H446" t="n">
        <x:v>384</x:v>
      </x:c>
      <x:c r="I446" t="n">
        <x:v>0</x:v>
      </x:c>
      <x:c r="J446" t="str">
        <x:v>Ninguna</x:v>
      </x:c>
      <x:c r="K446" t="str">
        <x:v>No</x:v>
      </x:c>
      <x:c r="L446" t="str">
        <x:v>Valencia</x:v>
      </x:c>
      <x:c r="M446" t="n">
        <x:f>IF(AND(B446&gt;=DATE(2026,7,1),B446&lt;=DATE(2026,9,30),G446&gt;=DATE(2026,7,1),G446&lt;=DATE(2026,9,30)),1,0)</x:f>
        <x:v>1</x:v>
      </x:c>
      <x:c r="N446" t="n">
        <x:f>IF(M446=1,IF(G446&lt;=F446,1,0),0)</x:f>
        <x:v>0</x:v>
      </x:c>
      <x:c r="O446" t="n">
        <x:f>IF(AND(M446=1,K446="Sí",G446&gt;F446),1,0)</x:f>
        <x:v>0</x:v>
      </x:c>
      <x:c r="P446" t="n">
        <x:f>IF(AND(M446=1,I446&gt;0),1,0)</x:f>
        <x:v>0</x:v>
      </x:c>
      <x:c r="Q446" t="n">
        <x:f>IF(AND(B446&gt;=DATE(2026,7,1),B446&lt;=DATE(2026,9,30),G446&gt;=DATE(2026,10,1),G446&lt;=DATE(2026,10,7)),1,0)</x:f>
        <x:v>0</x:v>
      </x:c>
      <x:c r="R446" t="n">
        <x:f>IF(AND(B446&gt;=DATE(2026,7,1),B446&lt;=DATE(2026,9,30),G446&gt;DATE(2026,10,7)),1,0)</x:f>
        <x:v>0</x:v>
      </x:c>
      <x:c r="S446" t="n">
        <x:f>IF(AND(M446=1,J446&lt;&gt;"Ninguna"),1,0)</x:f>
        <x:v>0</x:v>
      </x:c>
    </x:row>
    <x:row r="447">
      <x:c r="A447" t="str">
        <x:v>PED-0446</x:v>
      </x:c>
      <x:c r="B447" s="12" t="n">
        <x:v>46225</x:v>
      </x:c>
      <x:c r="C447" t="str">
        <x:v>MetalNova</x:v>
      </x:c>
      <x:c r="D447" t="str">
        <x:v>Materia prima</x:v>
      </x:c>
      <x:c r="E447" s="10" t="n">
        <x:v>4584.94</x:v>
      </x:c>
      <x:c r="F447" s="12" t="n">
        <x:v>46234</x:v>
      </x:c>
      <x:c r="G447" s="12" t="n">
        <x:v>46232</x:v>
      </x:c>
      <x:c r="H447" t="n">
        <x:v>202</x:v>
      </x:c>
      <x:c r="I447" t="n">
        <x:v>25</x:v>
      </x:c>
      <x:c r="J447" t="str">
        <x:v>Calidad</x:v>
      </x:c>
      <x:c r="K447" t="str">
        <x:v>No</x:v>
      </x:c>
      <x:c r="L447" t="str">
        <x:v>Zaragoza</x:v>
      </x:c>
      <x:c r="M447" t="n">
        <x:f>IF(AND(B447&gt;=DATE(2026,7,1),B447&lt;=DATE(2026,9,30),G447&gt;=DATE(2026,7,1),G447&lt;=DATE(2026,9,30)),1,0)</x:f>
        <x:v>1</x:v>
      </x:c>
      <x:c r="N447" t="n">
        <x:f>IF(M447=1,IF(G447&lt;=F447,1,0),0)</x:f>
        <x:v>1</x:v>
      </x:c>
      <x:c r="O447" t="n">
        <x:f>IF(AND(M447=1,K447="Sí",G447&gt;F447),1,0)</x:f>
        <x:v>0</x:v>
      </x:c>
      <x:c r="P447" t="n">
        <x:f>IF(AND(M447=1,I447&gt;0),1,0)</x:f>
        <x:v>1</x:v>
      </x:c>
      <x:c r="Q447" t="n">
        <x:f>IF(AND(B447&gt;=DATE(2026,7,1),B447&lt;=DATE(2026,9,30),G447&gt;=DATE(2026,10,1),G447&lt;=DATE(2026,10,7)),1,0)</x:f>
        <x:v>0</x:v>
      </x:c>
      <x:c r="R447" t="n">
        <x:f>IF(AND(B447&gt;=DATE(2026,7,1),B447&lt;=DATE(2026,9,30),G447&gt;DATE(2026,10,7)),1,0)</x:f>
        <x:v>0</x:v>
      </x:c>
      <x:c r="S447" t="n">
        <x:f>IF(AND(M447=1,J447&lt;&gt;"Ninguna"),1,0)</x:f>
        <x:v>1</x:v>
      </x:c>
    </x:row>
    <x:row r="448">
      <x:c r="A448" t="str">
        <x:v>PED-0447</x:v>
      </x:c>
      <x:c r="B448" s="12" t="n">
        <x:v>46260</x:v>
      </x:c>
      <x:c r="C448" t="str">
        <x:v>OfiPlus</x:v>
      </x:c>
      <x:c r="D448" t="str">
        <x:v>Consumibles</x:v>
      </x:c>
      <x:c r="E448" s="10" t="n">
        <x:v>6091.68</x:v>
      </x:c>
      <x:c r="F448" s="12" t="n">
        <x:v>46266</x:v>
      </x:c>
      <x:c r="G448" s="12" t="n">
        <x:v>46265</x:v>
      </x:c>
      <x:c r="H448" t="n">
        <x:v>320</x:v>
      </x:c>
      <x:c r="I448" t="n">
        <x:v>0</x:v>
      </x:c>
      <x:c r="J448" t="str">
        <x:v>Ninguna</x:v>
      </x:c>
      <x:c r="K448" t="str">
        <x:v>No</x:v>
      </x:c>
      <x:c r="L448" t="str">
        <x:v>Barcelona</x:v>
      </x:c>
      <x:c r="M448" t="n">
        <x:f>IF(AND(B448&gt;=DATE(2026,7,1),B448&lt;=DATE(2026,9,30),G448&gt;=DATE(2026,7,1),G448&lt;=DATE(2026,9,30)),1,0)</x:f>
        <x:v>1</x:v>
      </x:c>
      <x:c r="N448" t="n">
        <x:f>IF(M448=1,IF(G448&lt;=F448,1,0),0)</x:f>
        <x:v>1</x:v>
      </x:c>
      <x:c r="O448" t="n">
        <x:f>IF(AND(M448=1,K448="Sí",G448&gt;F448),1,0)</x:f>
        <x:v>0</x:v>
      </x:c>
      <x:c r="P448" t="n">
        <x:f>IF(AND(M448=1,I448&gt;0),1,0)</x:f>
        <x:v>0</x:v>
      </x:c>
      <x:c r="Q448" t="n">
        <x:f>IF(AND(B448&gt;=DATE(2026,7,1),B448&lt;=DATE(2026,9,30),G448&gt;=DATE(2026,10,1),G448&lt;=DATE(2026,10,7)),1,0)</x:f>
        <x:v>0</x:v>
      </x:c>
      <x:c r="R448" t="n">
        <x:f>IF(AND(B448&gt;=DATE(2026,7,1),B448&lt;=DATE(2026,9,30),G448&gt;DATE(2026,10,7)),1,0)</x:f>
        <x:v>0</x:v>
      </x:c>
      <x:c r="S448" t="n">
        <x:f>IF(AND(M448=1,J448&lt;&gt;"Ninguna"),1,0)</x:f>
        <x:v>0</x:v>
      </x:c>
    </x:row>
    <x:row r="449">
      <x:c r="A449" t="str">
        <x:v>PED-0448</x:v>
      </x:c>
      <x:c r="B449" s="12" t="n">
        <x:v>46246</x:v>
      </x:c>
      <x:c r="C449" t="str">
        <x:v>OfiPlus</x:v>
      </x:c>
      <x:c r="D449" t="str">
        <x:v>Consumibles</x:v>
      </x:c>
      <x:c r="E449" s="10" t="n">
        <x:v>2930.58</x:v>
      </x:c>
      <x:c r="F449" s="12" t="n">
        <x:v>46251</x:v>
      </x:c>
      <x:c r="G449" s="12" t="n">
        <x:v>46250</x:v>
      </x:c>
      <x:c r="H449" t="n">
        <x:v>394</x:v>
      </x:c>
      <x:c r="I449" t="n">
        <x:v>0</x:v>
      </x:c>
      <x:c r="J449" t="str">
        <x:v>Daño transporte</x:v>
      </x:c>
      <x:c r="K449" t="str">
        <x:v>Sí</x:v>
      </x:c>
      <x:c r="L449" t="str">
        <x:v>Barcelona</x:v>
      </x:c>
      <x:c r="M449" t="n">
        <x:f>IF(AND(B449&gt;=DATE(2026,7,1),B449&lt;=DATE(2026,9,30),G449&gt;=DATE(2026,7,1),G449&lt;=DATE(2026,9,30)),1,0)</x:f>
        <x:v>1</x:v>
      </x:c>
      <x:c r="N449" t="n">
        <x:f>IF(M449=1,IF(G449&lt;=F449,1,0),0)</x:f>
        <x:v>1</x:v>
      </x:c>
      <x:c r="O449" t="n">
        <x:f>IF(AND(M449=1,K449="Sí",G449&gt;F449),1,0)</x:f>
        <x:v>0</x:v>
      </x:c>
      <x:c r="P449" t="n">
        <x:f>IF(AND(M449=1,I449&gt;0),1,0)</x:f>
        <x:v>0</x:v>
      </x:c>
      <x:c r="Q449" t="n">
        <x:f>IF(AND(B449&gt;=DATE(2026,7,1),B449&lt;=DATE(2026,9,30),G449&gt;=DATE(2026,10,1),G449&lt;=DATE(2026,10,7)),1,0)</x:f>
        <x:v>0</x:v>
      </x:c>
      <x:c r="R449" t="n">
        <x:f>IF(AND(B449&gt;=DATE(2026,7,1),B449&lt;=DATE(2026,9,30),G449&gt;DATE(2026,10,7)),1,0)</x:f>
        <x:v>0</x:v>
      </x:c>
      <x:c r="S449" t="n">
        <x:f>IF(AND(M449=1,J449&lt;&gt;"Ninguna"),1,0)</x:f>
        <x:v>1</x:v>
      </x:c>
    </x:row>
    <x:row r="450">
      <x:c r="A450" t="str">
        <x:v>PED-0449</x:v>
      </x:c>
      <x:c r="B450" s="12" t="n">
        <x:v>46251</x:v>
      </x:c>
      <x:c r="C450" t="str">
        <x:v>MecaParts</x:v>
      </x:c>
      <x:c r="D450" t="str">
        <x:v>Componentes mecánicos</x:v>
      </x:c>
      <x:c r="E450" s="10" t="n">
        <x:v>7523.74</x:v>
      </x:c>
      <x:c r="F450" s="12" t="n">
        <x:v>46260</x:v>
      </x:c>
      <x:c r="G450" s="12" t="n">
        <x:v>46258</x:v>
      </x:c>
      <x:c r="H450" t="n">
        <x:v>343</x:v>
      </x:c>
      <x:c r="I450" t="n">
        <x:v>0</x:v>
      </x:c>
      <x:c r="J450" t="str">
        <x:v>Ninguna</x:v>
      </x:c>
      <x:c r="K450" t="str">
        <x:v>Sí</x:v>
      </x:c>
      <x:c r="L450" t="str">
        <x:v>Barcelona</x:v>
      </x:c>
      <x:c r="M450" t="n">
        <x:f>IF(AND(B450&gt;=DATE(2026,7,1),B450&lt;=DATE(2026,9,30),G450&gt;=DATE(2026,7,1),G450&lt;=DATE(2026,9,30)),1,0)</x:f>
        <x:v>1</x:v>
      </x:c>
      <x:c r="N450" t="n">
        <x:f>IF(M450=1,IF(G450&lt;=F450,1,0),0)</x:f>
        <x:v>1</x:v>
      </x:c>
      <x:c r="O450" t="n">
        <x:f>IF(AND(M450=1,K450="Sí",G450&gt;F450),1,0)</x:f>
        <x:v>0</x:v>
      </x:c>
      <x:c r="P450" t="n">
        <x:f>IF(AND(M450=1,I450&gt;0),1,0)</x:f>
        <x:v>0</x:v>
      </x:c>
      <x:c r="Q450" t="n">
        <x:f>IF(AND(B450&gt;=DATE(2026,7,1),B450&lt;=DATE(2026,9,30),G450&gt;=DATE(2026,10,1),G450&lt;=DATE(2026,10,7)),1,0)</x:f>
        <x:v>0</x:v>
      </x:c>
      <x:c r="R450" t="n">
        <x:f>IF(AND(B450&gt;=DATE(2026,7,1),B450&lt;=DATE(2026,9,30),G450&gt;DATE(2026,10,7)),1,0)</x:f>
        <x:v>0</x:v>
      </x:c>
      <x:c r="S450" t="n">
        <x:f>IF(AND(M450=1,J450&lt;&gt;"Ninguna"),1,0)</x:f>
        <x:v>0</x:v>
      </x:c>
    </x:row>
    <x:row r="451">
      <x:c r="A451" t="str">
        <x:v>PED-0450</x:v>
      </x:c>
      <x:c r="B451" s="12" t="n">
        <x:v>46245</x:v>
      </x:c>
      <x:c r="C451" t="str">
        <x:v>MecaParts</x:v>
      </x:c>
      <x:c r="D451" t="str">
        <x:v>Componentes mecánicos</x:v>
      </x:c>
      <x:c r="E451" s="10" t="n">
        <x:v>3967.39</x:v>
      </x:c>
      <x:c r="F451" s="12" t="n">
        <x:v>46253</x:v>
      </x:c>
      <x:c r="G451" s="12" t="n">
        <x:v>46253</x:v>
      </x:c>
      <x:c r="H451" t="n">
        <x:v>381</x:v>
      </x:c>
      <x:c r="I451" t="n">
        <x:v>0</x:v>
      </x:c>
      <x:c r="J451" t="str">
        <x:v>Ninguna</x:v>
      </x:c>
      <x:c r="K451" t="str">
        <x:v>No</x:v>
      </x:c>
      <x:c r="L451" t="str">
        <x:v>Valencia</x:v>
      </x:c>
      <x:c r="M451" t="n">
        <x:f>IF(AND(B451&gt;=DATE(2026,7,1),B451&lt;=DATE(2026,9,30),G451&gt;=DATE(2026,7,1),G451&lt;=DATE(2026,9,30)),1,0)</x:f>
        <x:v>1</x:v>
      </x:c>
      <x:c r="N451" t="n">
        <x:f>IF(M451=1,IF(G451&lt;=F451,1,0),0)</x:f>
        <x:v>1</x:v>
      </x:c>
      <x:c r="O451" t="n">
        <x:f>IF(AND(M451=1,K451="Sí",G451&gt;F451),1,0)</x:f>
        <x:v>0</x:v>
      </x:c>
      <x:c r="P451" t="n">
        <x:f>IF(AND(M451=1,I451&gt;0),1,0)</x:f>
        <x:v>0</x:v>
      </x:c>
      <x:c r="Q451" t="n">
        <x:f>IF(AND(B451&gt;=DATE(2026,7,1),B451&lt;=DATE(2026,9,30),G451&gt;=DATE(2026,10,1),G451&lt;=DATE(2026,10,7)),1,0)</x:f>
        <x:v>0</x:v>
      </x:c>
      <x:c r="R451" t="n">
        <x:f>IF(AND(B451&gt;=DATE(2026,7,1),B451&lt;=DATE(2026,9,30),G451&gt;DATE(2026,10,7)),1,0)</x:f>
        <x:v>0</x:v>
      </x:c>
      <x:c r="S451" t="n">
        <x:f>IF(AND(M451=1,J451&lt;&gt;"Ninguna"),1,0)</x:f>
        <x:v>0</x:v>
      </x:c>
    </x:row>
    <x:row r="452">
      <x:c r="A452" t="str">
        <x:v>PED-0451</x:v>
      </x:c>
      <x:c r="B452" s="12" t="n">
        <x:v>46250</x:v>
      </x:c>
      <x:c r="C452" t="str">
        <x:v>PackPro</x:v>
      </x:c>
      <x:c r="D452" t="str">
        <x:v>Embalaje</x:v>
      </x:c>
      <x:c r="E452" s="10" t="n">
        <x:v>3134.94</x:v>
      </x:c>
      <x:c r="F452" s="12" t="n">
        <x:v>46257</x:v>
      </x:c>
      <x:c r="G452" s="12" t="n">
        <x:v>46258</x:v>
      </x:c>
      <x:c r="H452" t="n">
        <x:v>91</x:v>
      </x:c>
      <x:c r="I452" t="n">
        <x:v>0</x:v>
      </x:c>
      <x:c r="J452" t="str">
        <x:v>Ninguna</x:v>
      </x:c>
      <x:c r="K452" t="str">
        <x:v>No</x:v>
      </x:c>
      <x:c r="L452" t="str">
        <x:v>Zaragoza</x:v>
      </x:c>
      <x:c r="M452" t="n">
        <x:f>IF(AND(B452&gt;=DATE(2026,7,1),B452&lt;=DATE(2026,9,30),G452&gt;=DATE(2026,7,1),G452&lt;=DATE(2026,9,30)),1,0)</x:f>
        <x:v>1</x:v>
      </x:c>
      <x:c r="N452" t="n">
        <x:f>IF(M452=1,IF(G452&lt;=F452,1,0),0)</x:f>
        <x:v>0</x:v>
      </x:c>
      <x:c r="O452" t="n">
        <x:f>IF(AND(M452=1,K452="Sí",G452&gt;F452),1,0)</x:f>
        <x:v>0</x:v>
      </x:c>
      <x:c r="P452" t="n">
        <x:f>IF(AND(M452=1,I452&gt;0),1,0)</x:f>
        <x:v>0</x:v>
      </x:c>
      <x:c r="Q452" t="n">
        <x:f>IF(AND(B452&gt;=DATE(2026,7,1),B452&lt;=DATE(2026,9,30),G452&gt;=DATE(2026,10,1),G452&lt;=DATE(2026,10,7)),1,0)</x:f>
        <x:v>0</x:v>
      </x:c>
      <x:c r="R452" t="n">
        <x:f>IF(AND(B452&gt;=DATE(2026,7,1),B452&lt;=DATE(2026,9,30),G452&gt;DATE(2026,10,7)),1,0)</x:f>
        <x:v>0</x:v>
      </x:c>
      <x:c r="S452" t="n">
        <x:f>IF(AND(M452=1,J452&lt;&gt;"Ninguna"),1,0)</x:f>
        <x:v>0</x:v>
      </x:c>
    </x:row>
    <x:row r="453">
      <x:c r="A453" t="str">
        <x:v>PED-0452</x:v>
      </x:c>
      <x:c r="B453" s="12" t="n">
        <x:v>46218</x:v>
      </x:c>
      <x:c r="C453" t="str">
        <x:v>MecaParts</x:v>
      </x:c>
      <x:c r="D453" t="str">
        <x:v>Componentes mecánicos</x:v>
      </x:c>
      <x:c r="E453" s="10" t="n">
        <x:v>630.8</x:v>
      </x:c>
      <x:c r="F453" s="12" t="n">
        <x:v>46229</x:v>
      </x:c>
      <x:c r="G453" s="12" t="n">
        <x:v>46230</x:v>
      </x:c>
      <x:c r="H453" t="n">
        <x:v>93</x:v>
      </x:c>
      <x:c r="I453" t="n">
        <x:v>0</x:v>
      </x:c>
      <x:c r="J453" t="str">
        <x:v>Ninguna</x:v>
      </x:c>
      <x:c r="K453" t="str">
        <x:v>No</x:v>
      </x:c>
      <x:c r="L453" t="str">
        <x:v>Zaragoza</x:v>
      </x:c>
      <x:c r="M453" t="n">
        <x:f>IF(AND(B453&gt;=DATE(2026,7,1),B453&lt;=DATE(2026,9,30),G453&gt;=DATE(2026,7,1),G453&lt;=DATE(2026,9,30)),1,0)</x:f>
        <x:v>1</x:v>
      </x:c>
      <x:c r="N453" t="n">
        <x:f>IF(M453=1,IF(G453&lt;=F453,1,0),0)</x:f>
        <x:v>0</x:v>
      </x:c>
      <x:c r="O453" t="n">
        <x:f>IF(AND(M453=1,K453="Sí",G453&gt;F453),1,0)</x:f>
        <x:v>0</x:v>
      </x:c>
      <x:c r="P453" t="n">
        <x:f>IF(AND(M453=1,I453&gt;0),1,0)</x:f>
        <x:v>0</x:v>
      </x:c>
      <x:c r="Q453" t="n">
        <x:f>IF(AND(B453&gt;=DATE(2026,7,1),B453&lt;=DATE(2026,9,30),G453&gt;=DATE(2026,10,1),G453&lt;=DATE(2026,10,7)),1,0)</x:f>
        <x:v>0</x:v>
      </x:c>
      <x:c r="R453" t="n">
        <x:f>IF(AND(B453&gt;=DATE(2026,7,1),B453&lt;=DATE(2026,9,30),G453&gt;DATE(2026,10,7)),1,0)</x:f>
        <x:v>0</x:v>
      </x:c>
      <x:c r="S453" t="n">
        <x:f>IF(AND(M453=1,J453&lt;&gt;"Ninguna"),1,0)</x:f>
        <x:v>0</x:v>
      </x:c>
    </x:row>
    <x:row r="454">
      <x:c r="A454" t="str">
        <x:v>PED-0453</x:v>
      </x:c>
      <x:c r="B454" s="12" t="n">
        <x:v>46293</x:v>
      </x:c>
      <x:c r="C454" t="str">
        <x:v>MetalNova</x:v>
      </x:c>
      <x:c r="D454" t="str">
        <x:v>Materia prima</x:v>
      </x:c>
      <x:c r="E454" s="10" t="n">
        <x:v>2216.75</x:v>
      </x:c>
      <x:c r="F454" s="12" t="n">
        <x:v>46303</x:v>
      </x:c>
      <x:c r="G454" s="12" t="n">
        <x:v>46304</x:v>
      </x:c>
      <x:c r="H454" t="n">
        <x:v>283</x:v>
      </x:c>
      <x:c r="I454" t="n">
        <x:v>0</x:v>
      </x:c>
      <x:c r="J454" t="str">
        <x:v>Ninguna</x:v>
      </x:c>
      <x:c r="K454" t="str">
        <x:v>No</x:v>
      </x:c>
      <x:c r="L454" t="str">
        <x:v>Valencia</x:v>
      </x:c>
      <x:c r="M454" t="n">
        <x:f>IF(AND(B454&gt;=DATE(2026,7,1),B454&lt;=DATE(2026,9,30),G454&gt;=DATE(2026,7,1),G454&lt;=DATE(2026,9,30)),1,0)</x:f>
        <x:v>0</x:v>
      </x:c>
      <x:c r="N454" t="n">
        <x:f>IF(M454=1,IF(G454&lt;=F454,1,0),0)</x:f>
        <x:v>0</x:v>
      </x:c>
      <x:c r="O454" t="n">
        <x:f>IF(AND(M454=1,K454="Sí",G454&gt;F454),1,0)</x:f>
        <x:v>0</x:v>
      </x:c>
      <x:c r="P454" t="n">
        <x:f>IF(AND(M454=1,I454&gt;0),1,0)</x:f>
        <x:v>0</x:v>
      </x:c>
      <x:c r="Q454" t="n">
        <x:f>IF(AND(B454&gt;=DATE(2026,7,1),B454&lt;=DATE(2026,9,30),G454&gt;=DATE(2026,10,1),G454&lt;=DATE(2026,10,7)),1,0)</x:f>
        <x:v>0</x:v>
      </x:c>
      <x:c r="R454" t="n">
        <x:f>IF(AND(B454&gt;=DATE(2026,7,1),B454&lt;=DATE(2026,9,30),G454&gt;DATE(2026,10,7)),1,0)</x:f>
        <x:v>1</x:v>
      </x:c>
      <x:c r="S454" t="n">
        <x:f>IF(AND(M454=1,J454&lt;&gt;"Ninguna"),1,0)</x:f>
        <x:v>0</x:v>
      </x:c>
    </x:row>
    <x:row r="455">
      <x:c r="A455" t="str">
        <x:v>PED-0454</x:v>
      </x:c>
      <x:c r="B455" s="12" t="n">
        <x:v>46256</x:v>
      </x:c>
      <x:c r="C455" t="str">
        <x:v>ElectraSupply</x:v>
      </x:c>
      <x:c r="D455" t="str">
        <x:v>Componentes eléctricos</x:v>
      </x:c>
      <x:c r="E455" s="10" t="n">
        <x:v>15417.19</x:v>
      </x:c>
      <x:c r="F455" s="12" t="n">
        <x:v>46268</x:v>
      </x:c>
      <x:c r="G455" s="12" t="n">
        <x:v>46271</x:v>
      </x:c>
      <x:c r="H455" t="n">
        <x:v>361</x:v>
      </x:c>
      <x:c r="I455" t="n">
        <x:v>0</x:v>
      </x:c>
      <x:c r="J455" t="str">
        <x:v>Retraso</x:v>
      </x:c>
      <x:c r="K455" t="str">
        <x:v>No</x:v>
      </x:c>
      <x:c r="L455" t="str">
        <x:v>Zaragoza</x:v>
      </x:c>
      <x:c r="M455" t="n">
        <x:f>IF(AND(B455&gt;=DATE(2026,7,1),B455&lt;=DATE(2026,9,30),G455&gt;=DATE(2026,7,1),G455&lt;=DATE(2026,9,30)),1,0)</x:f>
        <x:v>1</x:v>
      </x:c>
      <x:c r="N455" t="n">
        <x:f>IF(M455=1,IF(G455&lt;=F455,1,0),0)</x:f>
        <x:v>0</x:v>
      </x:c>
      <x:c r="O455" t="n">
        <x:f>IF(AND(M455=1,K455="Sí",G455&gt;F455),1,0)</x:f>
        <x:v>0</x:v>
      </x:c>
      <x:c r="P455" t="n">
        <x:f>IF(AND(M455=1,I455&gt;0),1,0)</x:f>
        <x:v>0</x:v>
      </x:c>
      <x:c r="Q455" t="n">
        <x:f>IF(AND(B455&gt;=DATE(2026,7,1),B455&lt;=DATE(2026,9,30),G455&gt;=DATE(2026,10,1),G455&lt;=DATE(2026,10,7)),1,0)</x:f>
        <x:v>0</x:v>
      </x:c>
      <x:c r="R455" t="n">
        <x:f>IF(AND(B455&gt;=DATE(2026,7,1),B455&lt;=DATE(2026,9,30),G455&gt;DATE(2026,10,7)),1,0)</x:f>
        <x:v>0</x:v>
      </x:c>
      <x:c r="S455" t="n">
        <x:f>IF(AND(M455=1,J455&lt;&gt;"Ninguna"),1,0)</x:f>
        <x:v>1</x:v>
      </x:c>
    </x:row>
    <x:row r="456">
      <x:c r="A456" t="str">
        <x:v>PED-0455</x:v>
      </x:c>
      <x:c r="B456" s="12" t="n">
        <x:v>46266</x:v>
      </x:c>
      <x:c r="C456" t="str">
        <x:v>ElectraSupply</x:v>
      </x:c>
      <x:c r="D456" t="str">
        <x:v>Componentes eléctricos</x:v>
      </x:c>
      <x:c r="E456" s="10" t="n">
        <x:v>3914.7</x:v>
      </x:c>
      <x:c r="F456" s="12" t="n">
        <x:v>46279</x:v>
      </x:c>
      <x:c r="G456" s="12" t="n">
        <x:v>46284</x:v>
      </x:c>
      <x:c r="H456" t="n">
        <x:v>141</x:v>
      </x:c>
      <x:c r="I456" t="n">
        <x:v>0</x:v>
      </x:c>
      <x:c r="J456" t="str">
        <x:v>Ninguna</x:v>
      </x:c>
      <x:c r="K456" t="str">
        <x:v>No</x:v>
      </x:c>
      <x:c r="L456" t="str">
        <x:v>Zaragoza</x:v>
      </x:c>
      <x:c r="M456" t="n">
        <x:f>IF(AND(B456&gt;=DATE(2026,7,1),B456&lt;=DATE(2026,9,30),G456&gt;=DATE(2026,7,1),G456&lt;=DATE(2026,9,30)),1,0)</x:f>
        <x:v>1</x:v>
      </x:c>
      <x:c r="N456" t="n">
        <x:f>IF(M456=1,IF(G456&lt;=F456,1,0),0)</x:f>
        <x:v>0</x:v>
      </x:c>
      <x:c r="O456" t="n">
        <x:f>IF(AND(M456=1,K456="Sí",G456&gt;F456),1,0)</x:f>
        <x:v>0</x:v>
      </x:c>
      <x:c r="P456" t="n">
        <x:f>IF(AND(M456=1,I456&gt;0),1,0)</x:f>
        <x:v>0</x:v>
      </x:c>
      <x:c r="Q456" t="n">
        <x:f>IF(AND(B456&gt;=DATE(2026,7,1),B456&lt;=DATE(2026,9,30),G456&gt;=DATE(2026,10,1),G456&lt;=DATE(2026,10,7)),1,0)</x:f>
        <x:v>0</x:v>
      </x:c>
      <x:c r="R456" t="n">
        <x:f>IF(AND(B456&gt;=DATE(2026,7,1),B456&lt;=DATE(2026,9,30),G456&gt;DATE(2026,10,7)),1,0)</x:f>
        <x:v>0</x:v>
      </x:c>
      <x:c r="S456" t="n">
        <x:f>IF(AND(M456=1,J456&lt;&gt;"Ninguna"),1,0)</x:f>
        <x:v>0</x:v>
      </x:c>
    </x:row>
    <x:row r="457">
      <x:c r="A457" t="str">
        <x:v>PED-0456</x:v>
      </x:c>
      <x:c r="B457" s="12" t="n">
        <x:v>46215</x:v>
      </x:c>
      <x:c r="C457" t="str">
        <x:v>MecaParts</x:v>
      </x:c>
      <x:c r="D457" t="str">
        <x:v>Componentes mecánicos</x:v>
      </x:c>
      <x:c r="E457" s="10" t="n">
        <x:v>3586.84</x:v>
      </x:c>
      <x:c r="F457" s="12" t="n">
        <x:v>46224</x:v>
      </x:c>
      <x:c r="G457" s="12" t="n">
        <x:v>46229</x:v>
      </x:c>
      <x:c r="H457" t="n">
        <x:v>335</x:v>
      </x:c>
      <x:c r="I457" t="n">
        <x:v>0</x:v>
      </x:c>
      <x:c r="J457" t="str">
        <x:v>Ninguna</x:v>
      </x:c>
      <x:c r="K457" t="str">
        <x:v>No</x:v>
      </x:c>
      <x:c r="L457" t="str">
        <x:v>Barcelona</x:v>
      </x:c>
      <x:c r="M457" t="n">
        <x:f>IF(AND(B457&gt;=DATE(2026,7,1),B457&lt;=DATE(2026,9,30),G457&gt;=DATE(2026,7,1),G457&lt;=DATE(2026,9,30)),1,0)</x:f>
        <x:v>1</x:v>
      </x:c>
      <x:c r="N457" t="n">
        <x:f>IF(M457=1,IF(G457&lt;=F457,1,0),0)</x:f>
        <x:v>0</x:v>
      </x:c>
      <x:c r="O457" t="n">
        <x:f>IF(AND(M457=1,K457="Sí",G457&gt;F457),1,0)</x:f>
        <x:v>0</x:v>
      </x:c>
      <x:c r="P457" t="n">
        <x:f>IF(AND(M457=1,I457&gt;0),1,0)</x:f>
        <x:v>0</x:v>
      </x:c>
      <x:c r="Q457" t="n">
        <x:f>IF(AND(B457&gt;=DATE(2026,7,1),B457&lt;=DATE(2026,9,30),G457&gt;=DATE(2026,10,1),G457&lt;=DATE(2026,10,7)),1,0)</x:f>
        <x:v>0</x:v>
      </x:c>
      <x:c r="R457" t="n">
        <x:f>IF(AND(B457&gt;=DATE(2026,7,1),B457&lt;=DATE(2026,9,30),G457&gt;DATE(2026,10,7)),1,0)</x:f>
        <x:v>0</x:v>
      </x:c>
      <x:c r="S457" t="n">
        <x:f>IF(AND(M457=1,J457&lt;&gt;"Ninguna"),1,0)</x:f>
        <x:v>0</x:v>
      </x:c>
    </x:row>
    <x:row r="458">
      <x:c r="A458" t="str">
        <x:v>PED-0457</x:v>
      </x:c>
      <x:c r="B458" s="12" t="n">
        <x:v>46282</x:v>
      </x:c>
      <x:c r="C458" t="str">
        <x:v>MetalNova</x:v>
      </x:c>
      <x:c r="D458" t="str">
        <x:v>Componentes mecánicos</x:v>
      </x:c>
      <x:c r="E458" s="10" t="n">
        <x:v>9428.18</x:v>
      </x:c>
      <x:c r="F458" s="12" t="n">
        <x:v>46294</x:v>
      </x:c>
      <x:c r="G458" s="12" t="n">
        <x:v>46292</x:v>
      </x:c>
      <x:c r="H458" t="n">
        <x:v>266</x:v>
      </x:c>
      <x:c r="I458" t="n">
        <x:v>0</x:v>
      </x:c>
      <x:c r="J458" t="str">
        <x:v>Ninguna</x:v>
      </x:c>
      <x:c r="K458" t="str">
        <x:v>No</x:v>
      </x:c>
      <x:c r="L458" t="str">
        <x:v>Valencia</x:v>
      </x:c>
      <x:c r="M458" t="n">
        <x:f>IF(AND(B458&gt;=DATE(2026,7,1),B458&lt;=DATE(2026,9,30),G458&gt;=DATE(2026,7,1),G458&lt;=DATE(2026,9,30)),1,0)</x:f>
        <x:v>1</x:v>
      </x:c>
      <x:c r="N458" t="n">
        <x:f>IF(M458=1,IF(G458&lt;=F458,1,0),0)</x:f>
        <x:v>1</x:v>
      </x:c>
      <x:c r="O458" t="n">
        <x:f>IF(AND(M458=1,K458="Sí",G458&gt;F458),1,0)</x:f>
        <x:v>0</x:v>
      </x:c>
      <x:c r="P458" t="n">
        <x:f>IF(AND(M458=1,I458&gt;0),1,0)</x:f>
        <x:v>0</x:v>
      </x:c>
      <x:c r="Q458" t="n">
        <x:f>IF(AND(B458&gt;=DATE(2026,7,1),B458&lt;=DATE(2026,9,30),G458&gt;=DATE(2026,10,1),G458&lt;=DATE(2026,10,7)),1,0)</x:f>
        <x:v>0</x:v>
      </x:c>
      <x:c r="R458" t="n">
        <x:f>IF(AND(B458&gt;=DATE(2026,7,1),B458&lt;=DATE(2026,9,30),G458&gt;DATE(2026,10,7)),1,0)</x:f>
        <x:v>0</x:v>
      </x:c>
      <x:c r="S458" t="n">
        <x:f>IF(AND(M458=1,J458&lt;&gt;"Ninguna"),1,0)</x:f>
        <x:v>0</x:v>
      </x:c>
    </x:row>
    <x:row r="459">
      <x:c r="A459" t="str">
        <x:v>PED-0458</x:v>
      </x:c>
      <x:c r="B459" s="12" t="n">
        <x:v>46223</x:v>
      </x:c>
      <x:c r="C459" t="str">
        <x:v>MetalNova</x:v>
      </x:c>
      <x:c r="D459" t="str">
        <x:v>Componentes mecánicos</x:v>
      </x:c>
      <x:c r="E459" s="10" t="n">
        <x:v>2567.01</x:v>
      </x:c>
      <x:c r="F459" s="12" t="n">
        <x:v>46234</x:v>
      </x:c>
      <x:c r="G459" s="12" t="n">
        <x:v>46240</x:v>
      </x:c>
      <x:c r="H459" t="n">
        <x:v>295</x:v>
      </x:c>
      <x:c r="I459" t="n">
        <x:v>0</x:v>
      </x:c>
      <x:c r="J459" t="str">
        <x:v>Retraso</x:v>
      </x:c>
      <x:c r="K459" t="str">
        <x:v>No</x:v>
      </x:c>
      <x:c r="L459" t="str">
        <x:v>Barcelona</x:v>
      </x:c>
      <x:c r="M459" t="n">
        <x:f>IF(AND(B459&gt;=DATE(2026,7,1),B459&lt;=DATE(2026,9,30),G459&gt;=DATE(2026,7,1),G459&lt;=DATE(2026,9,30)),1,0)</x:f>
        <x:v>1</x:v>
      </x:c>
      <x:c r="N459" t="n">
        <x:f>IF(M459=1,IF(G459&lt;=F459,1,0),0)</x:f>
        <x:v>0</x:v>
      </x:c>
      <x:c r="O459" t="n">
        <x:f>IF(AND(M459=1,K459="Sí",G459&gt;F459),1,0)</x:f>
        <x:v>0</x:v>
      </x:c>
      <x:c r="P459" t="n">
        <x:f>IF(AND(M459=1,I459&gt;0),1,0)</x:f>
        <x:v>0</x:v>
      </x:c>
      <x:c r="Q459" t="n">
        <x:f>IF(AND(B459&gt;=DATE(2026,7,1),B459&lt;=DATE(2026,9,30),G459&gt;=DATE(2026,10,1),G459&lt;=DATE(2026,10,7)),1,0)</x:f>
        <x:v>0</x:v>
      </x:c>
      <x:c r="R459" t="n">
        <x:f>IF(AND(B459&gt;=DATE(2026,7,1),B459&lt;=DATE(2026,9,30),G459&gt;DATE(2026,10,7)),1,0)</x:f>
        <x:v>0</x:v>
      </x:c>
      <x:c r="S459" t="n">
        <x:f>IF(AND(M459=1,J459&lt;&gt;"Ninguna"),1,0)</x:f>
        <x:v>1</x:v>
      </x:c>
    </x:row>
    <x:row r="460">
      <x:c r="A460" t="str">
        <x:v>PED-0459</x:v>
      </x:c>
      <x:c r="B460" s="12" t="n">
        <x:v>46208</x:v>
      </x:c>
      <x:c r="C460" t="str">
        <x:v>MecaParts</x:v>
      </x:c>
      <x:c r="D460" t="str">
        <x:v>Componentes mecánicos</x:v>
      </x:c>
      <x:c r="E460" s="10" t="n">
        <x:v>900.28</x:v>
      </x:c>
      <x:c r="F460" s="12" t="n">
        <x:v>46217</x:v>
      </x:c>
      <x:c r="G460" s="12" t="n">
        <x:v>46219</x:v>
      </x:c>
      <x:c r="H460" t="n">
        <x:v>38</x:v>
      </x:c>
      <x:c r="I460" t="n">
        <x:v>0</x:v>
      </x:c>
      <x:c r="J460" t="str">
        <x:v>Ninguna</x:v>
      </x:c>
      <x:c r="K460" t="str">
        <x:v>Sí</x:v>
      </x:c>
      <x:c r="L460" t="str">
        <x:v>Valencia</x:v>
      </x:c>
      <x:c r="M460" t="n">
        <x:f>IF(AND(B460&gt;=DATE(2026,7,1),B460&lt;=DATE(2026,9,30),G460&gt;=DATE(2026,7,1),G460&lt;=DATE(2026,9,30)),1,0)</x:f>
        <x:v>1</x:v>
      </x:c>
      <x:c r="N460" t="n">
        <x:f>IF(M460=1,IF(G460&lt;=F460,1,0),0)</x:f>
        <x:v>0</x:v>
      </x:c>
      <x:c r="O460" t="n">
        <x:f>IF(AND(M460=1,K460="Sí",G460&gt;F460),1,0)</x:f>
        <x:v>1</x:v>
      </x:c>
      <x:c r="P460" t="n">
        <x:f>IF(AND(M460=1,I460&gt;0),1,0)</x:f>
        <x:v>0</x:v>
      </x:c>
      <x:c r="Q460" t="n">
        <x:f>IF(AND(B460&gt;=DATE(2026,7,1),B460&lt;=DATE(2026,9,30),G460&gt;=DATE(2026,10,1),G460&lt;=DATE(2026,10,7)),1,0)</x:f>
        <x:v>0</x:v>
      </x:c>
      <x:c r="R460" t="n">
        <x:f>IF(AND(B460&gt;=DATE(2026,7,1),B460&lt;=DATE(2026,9,30),G460&gt;DATE(2026,10,7)),1,0)</x:f>
        <x:v>0</x:v>
      </x:c>
      <x:c r="S460" t="n">
        <x:f>IF(AND(M460=1,J460&lt;&gt;"Ninguna"),1,0)</x:f>
        <x:v>0</x:v>
      </x:c>
    </x:row>
    <x:row r="461">
      <x:c r="A461" t="str">
        <x:v>PED-0460</x:v>
      </x:c>
      <x:c r="B461" s="12" t="n">
        <x:v>46237</x:v>
      </x:c>
      <x:c r="C461" t="str">
        <x:v>MecaParts</x:v>
      </x:c>
      <x:c r="D461" t="str">
        <x:v>Componentes mecánicos</x:v>
      </x:c>
      <x:c r="E461" s="10" t="n">
        <x:v>10042.39</x:v>
      </x:c>
      <x:c r="F461" s="12" t="n">
        <x:v>46247</x:v>
      </x:c>
      <x:c r="G461" s="12" t="n">
        <x:v>46251</x:v>
      </x:c>
      <x:c r="H461" t="n">
        <x:v>373</x:v>
      </x:c>
      <x:c r="I461" t="n">
        <x:v>0</x:v>
      </x:c>
      <x:c r="J461" t="str">
        <x:v>Retraso</x:v>
      </x:c>
      <x:c r="K461" t="str">
        <x:v>No</x:v>
      </x:c>
      <x:c r="L461" t="str">
        <x:v>Zaragoza</x:v>
      </x:c>
      <x:c r="M461" t="n">
        <x:f>IF(AND(B461&gt;=DATE(2026,7,1),B461&lt;=DATE(2026,9,30),G461&gt;=DATE(2026,7,1),G461&lt;=DATE(2026,9,30)),1,0)</x:f>
        <x:v>1</x:v>
      </x:c>
      <x:c r="N461" t="n">
        <x:f>IF(M461=1,IF(G461&lt;=F461,1,0),0)</x:f>
        <x:v>0</x:v>
      </x:c>
      <x:c r="O461" t="n">
        <x:f>IF(AND(M461=1,K461="Sí",G461&gt;F461),1,0)</x:f>
        <x:v>0</x:v>
      </x:c>
      <x:c r="P461" t="n">
        <x:f>IF(AND(M461=1,I461&gt;0),1,0)</x:f>
        <x:v>0</x:v>
      </x:c>
      <x:c r="Q461" t="n">
        <x:f>IF(AND(B461&gt;=DATE(2026,7,1),B461&lt;=DATE(2026,9,30),G461&gt;=DATE(2026,10,1),G461&lt;=DATE(2026,10,7)),1,0)</x:f>
        <x:v>0</x:v>
      </x:c>
      <x:c r="R461" t="n">
        <x:f>IF(AND(B461&gt;=DATE(2026,7,1),B461&lt;=DATE(2026,9,30),G461&gt;DATE(2026,10,7)),1,0)</x:f>
        <x:v>0</x:v>
      </x:c>
      <x:c r="S461" t="n">
        <x:f>IF(AND(M461=1,J461&lt;&gt;"Ninguna"),1,0)</x:f>
        <x:v>1</x:v>
      </x:c>
    </x:row>
    <x:row r="462">
      <x:c r="A462" t="str">
        <x:v>PED-0461</x:v>
      </x:c>
      <x:c r="B462" s="12" t="n">
        <x:v>46271</x:v>
      </x:c>
      <x:c r="C462" t="str">
        <x:v>OfiPlus</x:v>
      </x:c>
      <x:c r="D462" t="str">
        <x:v>Consumibles</x:v>
      </x:c>
      <x:c r="E462" s="10" t="n">
        <x:v>2521.7</x:v>
      </x:c>
      <x:c r="F462" s="12" t="n">
        <x:v>46276</x:v>
      </x:c>
      <x:c r="G462" s="12" t="n">
        <x:v>46279</x:v>
      </x:c>
      <x:c r="H462" t="n">
        <x:v>70</x:v>
      </x:c>
      <x:c r="I462" t="n">
        <x:v>0</x:v>
      </x:c>
      <x:c r="J462" t="str">
        <x:v>Ninguna</x:v>
      </x:c>
      <x:c r="K462" t="str">
        <x:v>Sí</x:v>
      </x:c>
      <x:c r="L462" t="str">
        <x:v>Valencia</x:v>
      </x:c>
      <x:c r="M462" t="n">
        <x:f>IF(AND(B462&gt;=DATE(2026,7,1),B462&lt;=DATE(2026,9,30),G462&gt;=DATE(2026,7,1),G462&lt;=DATE(2026,9,30)),1,0)</x:f>
        <x:v>1</x:v>
      </x:c>
      <x:c r="N462" t="n">
        <x:f>IF(M462=1,IF(G462&lt;=F462,1,0),0)</x:f>
        <x:v>0</x:v>
      </x:c>
      <x:c r="O462" t="n">
        <x:f>IF(AND(M462=1,K462="Sí",G462&gt;F462),1,0)</x:f>
        <x:v>1</x:v>
      </x:c>
      <x:c r="P462" t="n">
        <x:f>IF(AND(M462=1,I462&gt;0),1,0)</x:f>
        <x:v>0</x:v>
      </x:c>
      <x:c r="Q462" t="n">
        <x:f>IF(AND(B462&gt;=DATE(2026,7,1),B462&lt;=DATE(2026,9,30),G462&gt;=DATE(2026,10,1),G462&lt;=DATE(2026,10,7)),1,0)</x:f>
        <x:v>0</x:v>
      </x:c>
      <x:c r="R462" t="n">
        <x:f>IF(AND(B462&gt;=DATE(2026,7,1),B462&lt;=DATE(2026,9,30),G462&gt;DATE(2026,10,7)),1,0)</x:f>
        <x:v>0</x:v>
      </x:c>
      <x:c r="S462" t="n">
        <x:f>IF(AND(M462=1,J462&lt;&gt;"Ninguna"),1,0)</x:f>
        <x:v>0</x:v>
      </x:c>
    </x:row>
    <x:row r="463">
      <x:c r="A463" t="str">
        <x:v>PED-0462</x:v>
      </x:c>
      <x:c r="B463" s="12" t="n">
        <x:v>46207</x:v>
      </x:c>
      <x:c r="C463" t="str">
        <x:v>PackPro</x:v>
      </x:c>
      <x:c r="D463" t="str">
        <x:v>Embalaje</x:v>
      </x:c>
      <x:c r="E463" s="10" t="n">
        <x:v>438.83</x:v>
      </x:c>
      <x:c r="F463" s="12" t="n">
        <x:v>46212</x:v>
      </x:c>
      <x:c r="G463" s="12" t="n">
        <x:v>46215</x:v>
      </x:c>
      <x:c r="H463" t="n">
        <x:v>30</x:v>
      </x:c>
      <x:c r="I463" t="n">
        <x:v>0</x:v>
      </x:c>
      <x:c r="J463" t="str">
        <x:v>Ninguna</x:v>
      </x:c>
      <x:c r="K463" t="str">
        <x:v>No</x:v>
      </x:c>
      <x:c r="L463" t="str">
        <x:v>Zaragoza</x:v>
      </x:c>
      <x:c r="M463" t="n">
        <x:f>IF(AND(B463&gt;=DATE(2026,7,1),B463&lt;=DATE(2026,9,30),G463&gt;=DATE(2026,7,1),G463&lt;=DATE(2026,9,30)),1,0)</x:f>
        <x:v>1</x:v>
      </x:c>
      <x:c r="N463" t="n">
        <x:f>IF(M463=1,IF(G463&lt;=F463,1,0),0)</x:f>
        <x:v>0</x:v>
      </x:c>
      <x:c r="O463" t="n">
        <x:f>IF(AND(M463=1,K463="Sí",G463&gt;F463),1,0)</x:f>
        <x:v>0</x:v>
      </x:c>
      <x:c r="P463" t="n">
        <x:f>IF(AND(M463=1,I463&gt;0),1,0)</x:f>
        <x:v>0</x:v>
      </x:c>
      <x:c r="Q463" t="n">
        <x:f>IF(AND(B463&gt;=DATE(2026,7,1),B463&lt;=DATE(2026,9,30),G463&gt;=DATE(2026,10,1),G463&lt;=DATE(2026,10,7)),1,0)</x:f>
        <x:v>0</x:v>
      </x:c>
      <x:c r="R463" t="n">
        <x:f>IF(AND(B463&gt;=DATE(2026,7,1),B463&lt;=DATE(2026,9,30),G463&gt;DATE(2026,10,7)),1,0)</x:f>
        <x:v>0</x:v>
      </x:c>
      <x:c r="S463" t="n">
        <x:f>IF(AND(M463=1,J463&lt;&gt;"Ninguna"),1,0)</x:f>
        <x:v>0</x:v>
      </x:c>
    </x:row>
    <x:row r="464">
      <x:c r="A464" t="str">
        <x:v>PED-0463</x:v>
      </x:c>
      <x:c r="B464" s="12" t="n">
        <x:v>46234</x:v>
      </x:c>
      <x:c r="C464" t="str">
        <x:v>MetalNova</x:v>
      </x:c>
      <x:c r="D464" t="str">
        <x:v>Materia prima</x:v>
      </x:c>
      <x:c r="E464" s="10" t="n">
        <x:v>8493.14</x:v>
      </x:c>
      <x:c r="F464" s="12" t="n">
        <x:v>46246</x:v>
      </x:c>
      <x:c r="G464" s="12" t="n">
        <x:v>46244</x:v>
      </x:c>
      <x:c r="H464" t="n">
        <x:v>190</x:v>
      </x:c>
      <x:c r="I464" t="n">
        <x:v>0</x:v>
      </x:c>
      <x:c r="J464" t="str">
        <x:v>Ninguna</x:v>
      </x:c>
      <x:c r="K464" t="str">
        <x:v>No</x:v>
      </x:c>
      <x:c r="L464" t="str">
        <x:v>Zaragoza</x:v>
      </x:c>
      <x:c r="M464" t="n">
        <x:f>IF(AND(B464&gt;=DATE(2026,7,1),B464&lt;=DATE(2026,9,30),G464&gt;=DATE(2026,7,1),G464&lt;=DATE(2026,9,30)),1,0)</x:f>
        <x:v>1</x:v>
      </x:c>
      <x:c r="N464" t="n">
        <x:f>IF(M464=1,IF(G464&lt;=F464,1,0),0)</x:f>
        <x:v>1</x:v>
      </x:c>
      <x:c r="O464" t="n">
        <x:f>IF(AND(M464=1,K464="Sí",G464&gt;F464),1,0)</x:f>
        <x:v>0</x:v>
      </x:c>
      <x:c r="P464" t="n">
        <x:f>IF(AND(M464=1,I464&gt;0),1,0)</x:f>
        <x:v>0</x:v>
      </x:c>
      <x:c r="Q464" t="n">
        <x:f>IF(AND(B464&gt;=DATE(2026,7,1),B464&lt;=DATE(2026,9,30),G464&gt;=DATE(2026,10,1),G464&lt;=DATE(2026,10,7)),1,0)</x:f>
        <x:v>0</x:v>
      </x:c>
      <x:c r="R464" t="n">
        <x:f>IF(AND(B464&gt;=DATE(2026,7,1),B464&lt;=DATE(2026,9,30),G464&gt;DATE(2026,10,7)),1,0)</x:f>
        <x:v>0</x:v>
      </x:c>
      <x:c r="S464" t="n">
        <x:f>IF(AND(M464=1,J464&lt;&gt;"Ninguna"),1,0)</x:f>
        <x:v>0</x:v>
      </x:c>
    </x:row>
    <x:row r="465">
      <x:c r="A465" t="str">
        <x:v>PED-0464</x:v>
      </x:c>
      <x:c r="B465" s="12" t="n">
        <x:v>46213</x:v>
      </x:c>
      <x:c r="C465" t="str">
        <x:v>PackPro</x:v>
      </x:c>
      <x:c r="D465" t="str">
        <x:v>Embalaje</x:v>
      </x:c>
      <x:c r="E465" s="10" t="n">
        <x:v>1969.27</x:v>
      </x:c>
      <x:c r="F465" s="12" t="n">
        <x:v>46220</x:v>
      </x:c>
      <x:c r="G465" s="12" t="n">
        <x:v>46226</x:v>
      </x:c>
      <x:c r="H465" t="n">
        <x:v>61</x:v>
      </x:c>
      <x:c r="I465" t="n">
        <x:v>0</x:v>
      </x:c>
      <x:c r="J465" t="str">
        <x:v>Retraso</x:v>
      </x:c>
      <x:c r="K465" t="str">
        <x:v>No</x:v>
      </x:c>
      <x:c r="L465" t="str">
        <x:v>Barcelona</x:v>
      </x:c>
      <x:c r="M465" t="n">
        <x:f>IF(AND(B465&gt;=DATE(2026,7,1),B465&lt;=DATE(2026,9,30),G465&gt;=DATE(2026,7,1),G465&lt;=DATE(2026,9,30)),1,0)</x:f>
        <x:v>1</x:v>
      </x:c>
      <x:c r="N465" t="n">
        <x:f>IF(M465=1,IF(G465&lt;=F465,1,0),0)</x:f>
        <x:v>0</x:v>
      </x:c>
      <x:c r="O465" t="n">
        <x:f>IF(AND(M465=1,K465="Sí",G465&gt;F465),1,0)</x:f>
        <x:v>0</x:v>
      </x:c>
      <x:c r="P465" t="n">
        <x:f>IF(AND(M465=1,I465&gt;0),1,0)</x:f>
        <x:v>0</x:v>
      </x:c>
      <x:c r="Q465" t="n">
        <x:f>IF(AND(B465&gt;=DATE(2026,7,1),B465&lt;=DATE(2026,9,30),G465&gt;=DATE(2026,10,1),G465&lt;=DATE(2026,10,7)),1,0)</x:f>
        <x:v>0</x:v>
      </x:c>
      <x:c r="R465" t="n">
        <x:f>IF(AND(B465&gt;=DATE(2026,7,1),B465&lt;=DATE(2026,9,30),G465&gt;DATE(2026,10,7)),1,0)</x:f>
        <x:v>0</x:v>
      </x:c>
      <x:c r="S465" t="n">
        <x:f>IF(AND(M465=1,J465&lt;&gt;"Ninguna"),1,0)</x:f>
        <x:v>1</x:v>
      </x:c>
    </x:row>
    <x:row r="466">
      <x:c r="A466" t="str">
        <x:v>PED-0465</x:v>
      </x:c>
      <x:c r="B466" s="12" t="n">
        <x:v>46212</x:v>
      </x:c>
      <x:c r="C466" t="str">
        <x:v>PackPro</x:v>
      </x:c>
      <x:c r="D466" t="str">
        <x:v>Embalaje</x:v>
      </x:c>
      <x:c r="E466" s="10" t="n">
        <x:v>16723.09</x:v>
      </x:c>
      <x:c r="F466" s="12" t="n">
        <x:v>46218</x:v>
      </x:c>
      <x:c r="G466" s="12" t="n">
        <x:v>46224</x:v>
      </x:c>
      <x:c r="H466" t="n">
        <x:v>340</x:v>
      </x:c>
      <x:c r="I466" t="n">
        <x:v>0</x:v>
      </x:c>
      <x:c r="J466" t="str">
        <x:v>Retraso</x:v>
      </x:c>
      <x:c r="K466" t="str">
        <x:v>No</x:v>
      </x:c>
      <x:c r="L466" t="str">
        <x:v>Zaragoza</x:v>
      </x:c>
      <x:c r="M466" t="n">
        <x:f>IF(AND(B466&gt;=DATE(2026,7,1),B466&lt;=DATE(2026,9,30),G466&gt;=DATE(2026,7,1),G466&lt;=DATE(2026,9,30)),1,0)</x:f>
        <x:v>1</x:v>
      </x:c>
      <x:c r="N466" t="n">
        <x:f>IF(M466=1,IF(G466&lt;=F466,1,0),0)</x:f>
        <x:v>0</x:v>
      </x:c>
      <x:c r="O466" t="n">
        <x:f>IF(AND(M466=1,K466="Sí",G466&gt;F466),1,0)</x:f>
        <x:v>0</x:v>
      </x:c>
      <x:c r="P466" t="n">
        <x:f>IF(AND(M466=1,I466&gt;0),1,0)</x:f>
        <x:v>0</x:v>
      </x:c>
      <x:c r="Q466" t="n">
        <x:f>IF(AND(B466&gt;=DATE(2026,7,1),B466&lt;=DATE(2026,9,30),G466&gt;=DATE(2026,10,1),G466&lt;=DATE(2026,10,7)),1,0)</x:f>
        <x:v>0</x:v>
      </x:c>
      <x:c r="R466" t="n">
        <x:f>IF(AND(B466&gt;=DATE(2026,7,1),B466&lt;=DATE(2026,9,30),G466&gt;DATE(2026,10,7)),1,0)</x:f>
        <x:v>0</x:v>
      </x:c>
      <x:c r="S466" t="n">
        <x:f>IF(AND(M466=1,J466&lt;&gt;"Ninguna"),1,0)</x:f>
        <x:v>1</x:v>
      </x:c>
    </x:row>
    <x:row r="467">
      <x:c r="A467" t="str">
        <x:v>PED-0466</x:v>
      </x:c>
      <x:c r="B467" s="12" t="n">
        <x:v>46257</x:v>
      </x:c>
      <x:c r="C467" t="str">
        <x:v>PackPro</x:v>
      </x:c>
      <x:c r="D467" t="str">
        <x:v>Embalaje</x:v>
      </x:c>
      <x:c r="E467" s="10" t="n">
        <x:v>9790.36</x:v>
      </x:c>
      <x:c r="F467" s="12" t="n">
        <x:v>46264</x:v>
      </x:c>
      <x:c r="G467" s="12" t="n">
        <x:v>46264</x:v>
      </x:c>
      <x:c r="H467" t="n">
        <x:v>192</x:v>
      </x:c>
      <x:c r="I467" t="n">
        <x:v>0</x:v>
      </x:c>
      <x:c r="J467" t="str">
        <x:v>Ninguna</x:v>
      </x:c>
      <x:c r="K467" t="str">
        <x:v>No</x:v>
      </x:c>
      <x:c r="L467" t="str">
        <x:v>Barcelona</x:v>
      </x:c>
      <x:c r="M467" t="n">
        <x:f>IF(AND(B467&gt;=DATE(2026,7,1),B467&lt;=DATE(2026,9,30),G467&gt;=DATE(2026,7,1),G467&lt;=DATE(2026,9,30)),1,0)</x:f>
        <x:v>1</x:v>
      </x:c>
      <x:c r="N467" t="n">
        <x:f>IF(M467=1,IF(G467&lt;=F467,1,0),0)</x:f>
        <x:v>1</x:v>
      </x:c>
      <x:c r="O467" t="n">
        <x:f>IF(AND(M467=1,K467="Sí",G467&gt;F467),1,0)</x:f>
        <x:v>0</x:v>
      </x:c>
      <x:c r="P467" t="n">
        <x:f>IF(AND(M467=1,I467&gt;0),1,0)</x:f>
        <x:v>0</x:v>
      </x:c>
      <x:c r="Q467" t="n">
        <x:f>IF(AND(B467&gt;=DATE(2026,7,1),B467&lt;=DATE(2026,9,30),G467&gt;=DATE(2026,10,1),G467&lt;=DATE(2026,10,7)),1,0)</x:f>
        <x:v>0</x:v>
      </x:c>
      <x:c r="R467" t="n">
        <x:f>IF(AND(B467&gt;=DATE(2026,7,1),B467&lt;=DATE(2026,9,30),G467&gt;DATE(2026,10,7)),1,0)</x:f>
        <x:v>0</x:v>
      </x:c>
      <x:c r="S467" t="n">
        <x:f>IF(AND(M467=1,J467&lt;&gt;"Ninguna"),1,0)</x:f>
        <x:v>0</x:v>
      </x:c>
    </x:row>
    <x:row r="468">
      <x:c r="A468" t="str">
        <x:v>PED-0467</x:v>
      </x:c>
      <x:c r="B468" s="12" t="n">
        <x:v>46290</x:v>
      </x:c>
      <x:c r="C468" t="str">
        <x:v>MecaParts</x:v>
      </x:c>
      <x:c r="D468" t="str">
        <x:v>Componentes mecánicos</x:v>
      </x:c>
      <x:c r="E468" s="10" t="n">
        <x:v>7186.4</x:v>
      </x:c>
      <x:c r="F468" s="12" t="n">
        <x:v>46298</x:v>
      </x:c>
      <x:c r="G468" s="12" t="n">
        <x:v>46303</x:v>
      </x:c>
      <x:c r="H468" t="n">
        <x:v>259</x:v>
      </x:c>
      <x:c r="I468" t="n">
        <x:v>0</x:v>
      </x:c>
      <x:c r="J468" t="str">
        <x:v>Ninguna</x:v>
      </x:c>
      <x:c r="K468" t="str">
        <x:v>No</x:v>
      </x:c>
      <x:c r="L468" t="str">
        <x:v>Valencia</x:v>
      </x:c>
      <x:c r="M468" t="n">
        <x:f>IF(AND(B468&gt;=DATE(2026,7,1),B468&lt;=DATE(2026,9,30),G468&gt;=DATE(2026,7,1),G468&lt;=DATE(2026,9,30)),1,0)</x:f>
        <x:v>0</x:v>
      </x:c>
      <x:c r="N468" t="n">
        <x:f>IF(M468=1,IF(G468&lt;=F468,1,0),0)</x:f>
        <x:v>0</x:v>
      </x:c>
      <x:c r="O468" t="n">
        <x:f>IF(AND(M468=1,K468="Sí",G468&gt;F468),1,0)</x:f>
        <x:v>0</x:v>
      </x:c>
      <x:c r="P468" t="n">
        <x:f>IF(AND(M468=1,I468&gt;0),1,0)</x:f>
        <x:v>0</x:v>
      </x:c>
      <x:c r="Q468" t="n">
        <x:f>IF(AND(B468&gt;=DATE(2026,7,1),B468&lt;=DATE(2026,9,30),G468&gt;=DATE(2026,10,1),G468&lt;=DATE(2026,10,7)),1,0)</x:f>
        <x:v>0</x:v>
      </x:c>
      <x:c r="R468" t="n">
        <x:f>IF(AND(B468&gt;=DATE(2026,7,1),B468&lt;=DATE(2026,9,30),G468&gt;DATE(2026,10,7)),1,0)</x:f>
        <x:v>1</x:v>
      </x:c>
      <x:c r="S468" t="n">
        <x:f>IF(AND(M468=1,J468&lt;&gt;"Ninguna"),1,0)</x:f>
        <x:v>0</x:v>
      </x:c>
    </x:row>
    <x:row r="469">
      <x:c r="A469" t="str">
        <x:v>PED-0468</x:v>
      </x:c>
      <x:c r="B469" s="12" t="n">
        <x:v>46272</x:v>
      </x:c>
      <x:c r="C469" t="str">
        <x:v>MecaParts</x:v>
      </x:c>
      <x:c r="D469" t="str">
        <x:v>Componentes mecánicos</x:v>
      </x:c>
      <x:c r="E469" s="10" t="n">
        <x:v>3484.38</x:v>
      </x:c>
      <x:c r="F469" s="12" t="n">
        <x:v>46282</x:v>
      </x:c>
      <x:c r="G469" s="12" t="n">
        <x:v>46285</x:v>
      </x:c>
      <x:c r="H469" t="n">
        <x:v>239</x:v>
      </x:c>
      <x:c r="I469" t="n">
        <x:v>0</x:v>
      </x:c>
      <x:c r="J469" t="str">
        <x:v>Ninguna</x:v>
      </x:c>
      <x:c r="K469" t="str">
        <x:v>No</x:v>
      </x:c>
      <x:c r="L469" t="str">
        <x:v>Barcelona</x:v>
      </x:c>
      <x:c r="M469" t="n">
        <x:f>IF(AND(B469&gt;=DATE(2026,7,1),B469&lt;=DATE(2026,9,30),G469&gt;=DATE(2026,7,1),G469&lt;=DATE(2026,9,30)),1,0)</x:f>
        <x:v>1</x:v>
      </x:c>
      <x:c r="N469" t="n">
        <x:f>IF(M469=1,IF(G469&lt;=F469,1,0),0)</x:f>
        <x:v>0</x:v>
      </x:c>
      <x:c r="O469" t="n">
        <x:f>IF(AND(M469=1,K469="Sí",G469&gt;F469),1,0)</x:f>
        <x:v>0</x:v>
      </x:c>
      <x:c r="P469" t="n">
        <x:f>IF(AND(M469=1,I469&gt;0),1,0)</x:f>
        <x:v>0</x:v>
      </x:c>
      <x:c r="Q469" t="n">
        <x:f>IF(AND(B469&gt;=DATE(2026,7,1),B469&lt;=DATE(2026,9,30),G469&gt;=DATE(2026,10,1),G469&lt;=DATE(2026,10,7)),1,0)</x:f>
        <x:v>0</x:v>
      </x:c>
      <x:c r="R469" t="n">
        <x:f>IF(AND(B469&gt;=DATE(2026,7,1),B469&lt;=DATE(2026,9,30),G469&gt;DATE(2026,10,7)),1,0)</x:f>
        <x:v>0</x:v>
      </x:c>
      <x:c r="S469" t="n">
        <x:f>IF(AND(M469=1,J469&lt;&gt;"Ninguna"),1,0)</x:f>
        <x:v>0</x:v>
      </x:c>
    </x:row>
    <x:row r="470">
      <x:c r="A470" t="str">
        <x:v>PED-0469</x:v>
      </x:c>
      <x:c r="B470" s="12" t="n">
        <x:v>46217</x:v>
      </x:c>
      <x:c r="C470" t="str">
        <x:v>ElectraSupply</x:v>
      </x:c>
      <x:c r="D470" t="str">
        <x:v>Componentes eléctricos</x:v>
      </x:c>
      <x:c r="E470" s="10" t="n">
        <x:v>4911.2</x:v>
      </x:c>
      <x:c r="F470" s="12" t="n">
        <x:v>46230</x:v>
      </x:c>
      <x:c r="G470" s="12" t="n">
        <x:v>46232</x:v>
      </x:c>
      <x:c r="H470" t="n">
        <x:v>162</x:v>
      </x:c>
      <x:c r="I470" t="n">
        <x:v>0</x:v>
      </x:c>
      <x:c r="J470" t="str">
        <x:v>Ninguna</x:v>
      </x:c>
      <x:c r="K470" t="str">
        <x:v>No</x:v>
      </x:c>
      <x:c r="L470" t="str">
        <x:v>Zaragoza</x:v>
      </x:c>
      <x:c r="M470" t="n">
        <x:f>IF(AND(B470&gt;=DATE(2026,7,1),B470&lt;=DATE(2026,9,30),G470&gt;=DATE(2026,7,1),G470&lt;=DATE(2026,9,30)),1,0)</x:f>
        <x:v>1</x:v>
      </x:c>
      <x:c r="N470" t="n">
        <x:f>IF(M470=1,IF(G470&lt;=F470,1,0),0)</x:f>
        <x:v>0</x:v>
      </x:c>
      <x:c r="O470" t="n">
        <x:f>IF(AND(M470=1,K470="Sí",G470&gt;F470),1,0)</x:f>
        <x:v>0</x:v>
      </x:c>
      <x:c r="P470" t="n">
        <x:f>IF(AND(M470=1,I470&gt;0),1,0)</x:f>
        <x:v>0</x:v>
      </x:c>
      <x:c r="Q470" t="n">
        <x:f>IF(AND(B470&gt;=DATE(2026,7,1),B470&lt;=DATE(2026,9,30),G470&gt;=DATE(2026,10,1),G470&lt;=DATE(2026,10,7)),1,0)</x:f>
        <x:v>0</x:v>
      </x:c>
      <x:c r="R470" t="n">
        <x:f>IF(AND(B470&gt;=DATE(2026,7,1),B470&lt;=DATE(2026,9,30),G470&gt;DATE(2026,10,7)),1,0)</x:f>
        <x:v>0</x:v>
      </x:c>
      <x:c r="S470" t="n">
        <x:f>IF(AND(M470=1,J470&lt;&gt;"Ninguna"),1,0)</x:f>
        <x:v>0</x:v>
      </x:c>
    </x:row>
    <x:row r="471">
      <x:c r="A471" t="str">
        <x:v>PED-0470</x:v>
      </x:c>
      <x:c r="B471" s="12" t="n">
        <x:v>46209</x:v>
      </x:c>
      <x:c r="C471" t="str">
        <x:v>MetalNova</x:v>
      </x:c>
      <x:c r="D471" t="str">
        <x:v>Componentes mecánicos</x:v>
      </x:c>
      <x:c r="E471" s="10" t="n">
        <x:v>1153.52</x:v>
      </x:c>
      <x:c r="F471" s="12" t="n">
        <x:v>46219</x:v>
      </x:c>
      <x:c r="G471" s="12" t="n">
        <x:v>46219</x:v>
      </x:c>
      <x:c r="H471" t="n">
        <x:v>158</x:v>
      </x:c>
      <x:c r="I471" t="n">
        <x:v>0</x:v>
      </x:c>
      <x:c r="J471" t="str">
        <x:v>Ninguna</x:v>
      </x:c>
      <x:c r="K471" t="str">
        <x:v>No</x:v>
      </x:c>
      <x:c r="L471" t="str">
        <x:v>Valencia</x:v>
      </x:c>
      <x:c r="M471" t="n">
        <x:f>IF(AND(B471&gt;=DATE(2026,7,1),B471&lt;=DATE(2026,9,30),G471&gt;=DATE(2026,7,1),G471&lt;=DATE(2026,9,30)),1,0)</x:f>
        <x:v>1</x:v>
      </x:c>
      <x:c r="N471" t="n">
        <x:f>IF(M471=1,IF(G471&lt;=F471,1,0),0)</x:f>
        <x:v>1</x:v>
      </x:c>
      <x:c r="O471" t="n">
        <x:f>IF(AND(M471=1,K471="Sí",G471&gt;F471),1,0)</x:f>
        <x:v>0</x:v>
      </x:c>
      <x:c r="P471" t="n">
        <x:f>IF(AND(M471=1,I471&gt;0),1,0)</x:f>
        <x:v>0</x:v>
      </x:c>
      <x:c r="Q471" t="n">
        <x:f>IF(AND(B471&gt;=DATE(2026,7,1),B471&lt;=DATE(2026,9,30),G471&gt;=DATE(2026,10,1),G471&lt;=DATE(2026,10,7)),1,0)</x:f>
        <x:v>0</x:v>
      </x:c>
      <x:c r="R471" t="n">
        <x:f>IF(AND(B471&gt;=DATE(2026,7,1),B471&lt;=DATE(2026,9,30),G471&gt;DATE(2026,10,7)),1,0)</x:f>
        <x:v>0</x:v>
      </x:c>
      <x:c r="S471" t="n">
        <x:f>IF(AND(M471=1,J471&lt;&gt;"Ninguna"),1,0)</x:f>
        <x:v>0</x:v>
      </x:c>
    </x:row>
    <x:row r="472">
      <x:c r="A472" t="str">
        <x:v>PED-0471</x:v>
      </x:c>
      <x:c r="B472" s="12" t="n">
        <x:v>46210</x:v>
      </x:c>
      <x:c r="C472" t="str">
        <x:v>PackPro</x:v>
      </x:c>
      <x:c r="D472" t="str">
        <x:v>Embalaje</x:v>
      </x:c>
      <x:c r="E472" s="10" t="n">
        <x:v>12095.33</x:v>
      </x:c>
      <x:c r="F472" s="12" t="n">
        <x:v>46215</x:v>
      </x:c>
      <x:c r="G472" s="12" t="n">
        <x:v>46218</x:v>
      </x:c>
      <x:c r="H472" t="n">
        <x:v>260</x:v>
      </x:c>
      <x:c r="I472" t="n">
        <x:v>0</x:v>
      </x:c>
      <x:c r="J472" t="str">
        <x:v>Cantidad incorrecta</x:v>
      </x:c>
      <x:c r="K472" t="str">
        <x:v>No</x:v>
      </x:c>
      <x:c r="L472" t="str">
        <x:v>Barcelona</x:v>
      </x:c>
      <x:c r="M472" t="n">
        <x:f>IF(AND(B472&gt;=DATE(2026,7,1),B472&lt;=DATE(2026,9,30),G472&gt;=DATE(2026,7,1),G472&lt;=DATE(2026,9,30)),1,0)</x:f>
        <x:v>1</x:v>
      </x:c>
      <x:c r="N472" t="n">
        <x:f>IF(M472=1,IF(G472&lt;=F472,1,0),0)</x:f>
        <x:v>0</x:v>
      </x:c>
      <x:c r="O472" t="n">
        <x:f>IF(AND(M472=1,K472="Sí",G472&gt;F472),1,0)</x:f>
        <x:v>0</x:v>
      </x:c>
      <x:c r="P472" t="n">
        <x:f>IF(AND(M472=1,I472&gt;0),1,0)</x:f>
        <x:v>0</x:v>
      </x:c>
      <x:c r="Q472" t="n">
        <x:f>IF(AND(B472&gt;=DATE(2026,7,1),B472&lt;=DATE(2026,9,30),G472&gt;=DATE(2026,10,1),G472&lt;=DATE(2026,10,7)),1,0)</x:f>
        <x:v>0</x:v>
      </x:c>
      <x:c r="R472" t="n">
        <x:f>IF(AND(B472&gt;=DATE(2026,7,1),B472&lt;=DATE(2026,9,30),G472&gt;DATE(2026,10,7)),1,0)</x:f>
        <x:v>0</x:v>
      </x:c>
      <x:c r="S472" t="n">
        <x:f>IF(AND(M472=1,J472&lt;&gt;"Ninguna"),1,0)</x:f>
        <x:v>1</x:v>
      </x:c>
    </x:row>
    <x:row r="473">
      <x:c r="A473" t="str">
        <x:v>PED-0472</x:v>
      </x:c>
      <x:c r="B473" s="12" t="n">
        <x:v>46261</x:v>
      </x:c>
      <x:c r="C473" t="str">
        <x:v>ElectraSupply</x:v>
      </x:c>
      <x:c r="D473" t="str">
        <x:v>Componentes eléctricos</x:v>
      </x:c>
      <x:c r="E473" s="10" t="n">
        <x:v>2064.88</x:v>
      </x:c>
      <x:c r="F473" s="12" t="n">
        <x:v>46275</x:v>
      </x:c>
      <x:c r="G473" s="12" t="n">
        <x:v>46280</x:v>
      </x:c>
      <x:c r="H473" t="n">
        <x:v>310</x:v>
      </x:c>
      <x:c r="I473" t="n">
        <x:v>0</x:v>
      </x:c>
      <x:c r="J473" t="str">
        <x:v>Ninguna</x:v>
      </x:c>
      <x:c r="K473" t="str">
        <x:v>No</x:v>
      </x:c>
      <x:c r="L473" t="str">
        <x:v>Zaragoza</x:v>
      </x:c>
      <x:c r="M473" t="n">
        <x:f>IF(AND(B473&gt;=DATE(2026,7,1),B473&lt;=DATE(2026,9,30),G473&gt;=DATE(2026,7,1),G473&lt;=DATE(2026,9,30)),1,0)</x:f>
        <x:v>1</x:v>
      </x:c>
      <x:c r="N473" t="n">
        <x:f>IF(M473=1,IF(G473&lt;=F473,1,0),0)</x:f>
        <x:v>0</x:v>
      </x:c>
      <x:c r="O473" t="n">
        <x:f>IF(AND(M473=1,K473="Sí",G473&gt;F473),1,0)</x:f>
        <x:v>0</x:v>
      </x:c>
      <x:c r="P473" t="n">
        <x:f>IF(AND(M473=1,I473&gt;0),1,0)</x:f>
        <x:v>0</x:v>
      </x:c>
      <x:c r="Q473" t="n">
        <x:f>IF(AND(B473&gt;=DATE(2026,7,1),B473&lt;=DATE(2026,9,30),G473&gt;=DATE(2026,10,1),G473&lt;=DATE(2026,10,7)),1,0)</x:f>
        <x:v>0</x:v>
      </x:c>
      <x:c r="R473" t="n">
        <x:f>IF(AND(B473&gt;=DATE(2026,7,1),B473&lt;=DATE(2026,9,30),G473&gt;DATE(2026,10,7)),1,0)</x:f>
        <x:v>0</x:v>
      </x:c>
      <x:c r="S473" t="n">
        <x:f>IF(AND(M473=1,J473&lt;&gt;"Ninguna"),1,0)</x:f>
        <x:v>0</x:v>
      </x:c>
    </x:row>
    <x:row r="474">
      <x:c r="A474" t="str">
        <x:v>PED-0473</x:v>
      </x:c>
      <x:c r="B474" s="12" t="n">
        <x:v>46295</x:v>
      </x:c>
      <x:c r="C474" t="str">
        <x:v>MecaParts</x:v>
      </x:c>
      <x:c r="D474" t="str">
        <x:v>Componentes mecánicos</x:v>
      </x:c>
      <x:c r="E474" s="10" t="n">
        <x:v>2600.85</x:v>
      </x:c>
      <x:c r="F474" s="12" t="n">
        <x:v>46306</x:v>
      </x:c>
      <x:c r="G474" s="12" t="n">
        <x:v>46309</x:v>
      </x:c>
      <x:c r="H474" t="n">
        <x:v>85</x:v>
      </x:c>
      <x:c r="I474" t="n">
        <x:v>0</x:v>
      </x:c>
      <x:c r="J474" t="str">
        <x:v>Ninguna</x:v>
      </x:c>
      <x:c r="K474" t="str">
        <x:v>No</x:v>
      </x:c>
      <x:c r="L474" t="str">
        <x:v>Zaragoza</x:v>
      </x:c>
      <x:c r="M474" t="n">
        <x:f>IF(AND(B474&gt;=DATE(2026,7,1),B474&lt;=DATE(2026,9,30),G474&gt;=DATE(2026,7,1),G474&lt;=DATE(2026,9,30)),1,0)</x:f>
        <x:v>0</x:v>
      </x:c>
      <x:c r="N474" t="n">
        <x:f>IF(M474=1,IF(G474&lt;=F474,1,0),0)</x:f>
        <x:v>0</x:v>
      </x:c>
      <x:c r="O474" t="n">
        <x:f>IF(AND(M474=1,K474="Sí",G474&gt;F474),1,0)</x:f>
        <x:v>0</x:v>
      </x:c>
      <x:c r="P474" t="n">
        <x:f>IF(AND(M474=1,I474&gt;0),1,0)</x:f>
        <x:v>0</x:v>
      </x:c>
      <x:c r="Q474" t="n">
        <x:f>IF(AND(B474&gt;=DATE(2026,7,1),B474&lt;=DATE(2026,9,30),G474&gt;=DATE(2026,10,1),G474&lt;=DATE(2026,10,7)),1,0)</x:f>
        <x:v>0</x:v>
      </x:c>
      <x:c r="R474" t="n">
        <x:f>IF(AND(B474&gt;=DATE(2026,7,1),B474&lt;=DATE(2026,9,30),G474&gt;DATE(2026,10,7)),1,0)</x:f>
        <x:v>1</x:v>
      </x:c>
      <x:c r="S474" t="n">
        <x:f>IF(AND(M474=1,J474&lt;&gt;"Ninguna"),1,0)</x:f>
        <x:v>0</x:v>
      </x:c>
    </x:row>
    <x:row r="475">
      <x:c r="A475" t="str">
        <x:v>PED-0474</x:v>
      </x:c>
      <x:c r="B475" s="12" t="n">
        <x:v>46256</x:v>
      </x:c>
      <x:c r="C475" t="str">
        <x:v>ElectraSupply</x:v>
      </x:c>
      <x:c r="D475" t="str">
        <x:v>Componentes eléctricos</x:v>
      </x:c>
      <x:c r="E475" s="10" t="n">
        <x:v>6407.84</x:v>
      </x:c>
      <x:c r="F475" s="12" t="n">
        <x:v>46267</x:v>
      </x:c>
      <x:c r="G475" s="12" t="n">
        <x:v>46271</x:v>
      </x:c>
      <x:c r="H475" t="n">
        <x:v>322</x:v>
      </x:c>
      <x:c r="I475" t="n">
        <x:v>49</x:v>
      </x:c>
      <x:c r="J475" t="str">
        <x:v>Calidad</x:v>
      </x:c>
      <x:c r="K475" t="str">
        <x:v>No</x:v>
      </x:c>
      <x:c r="L475" t="str">
        <x:v>Valencia</x:v>
      </x:c>
      <x:c r="M475" t="n">
        <x:f>IF(AND(B475&gt;=DATE(2026,7,1),B475&lt;=DATE(2026,9,30),G475&gt;=DATE(2026,7,1),G475&lt;=DATE(2026,9,30)),1,0)</x:f>
        <x:v>1</x:v>
      </x:c>
      <x:c r="N475" t="n">
        <x:f>IF(M475=1,IF(G475&lt;=F475,1,0),0)</x:f>
        <x:v>0</x:v>
      </x:c>
      <x:c r="O475" t="n">
        <x:f>IF(AND(M475=1,K475="Sí",G475&gt;F475),1,0)</x:f>
        <x:v>0</x:v>
      </x:c>
      <x:c r="P475" t="n">
        <x:f>IF(AND(M475=1,I475&gt;0),1,0)</x:f>
        <x:v>1</x:v>
      </x:c>
      <x:c r="Q475" t="n">
        <x:f>IF(AND(B475&gt;=DATE(2026,7,1),B475&lt;=DATE(2026,9,30),G475&gt;=DATE(2026,10,1),G475&lt;=DATE(2026,10,7)),1,0)</x:f>
        <x:v>0</x:v>
      </x:c>
      <x:c r="R475" t="n">
        <x:f>IF(AND(B475&gt;=DATE(2026,7,1),B475&lt;=DATE(2026,9,30),G475&gt;DATE(2026,10,7)),1,0)</x:f>
        <x:v>0</x:v>
      </x:c>
      <x:c r="S475" t="n">
        <x:f>IF(AND(M475=1,J475&lt;&gt;"Ninguna"),1,0)</x:f>
        <x:v>1</x:v>
      </x:c>
    </x:row>
    <x:row r="476">
      <x:c r="A476" t="str">
        <x:v>PED-0475</x:v>
      </x:c>
      <x:c r="B476" s="12" t="n">
        <x:v>46246</x:v>
      </x:c>
      <x:c r="C476" t="str">
        <x:v>MetalNova</x:v>
      </x:c>
      <x:c r="D476" t="str">
        <x:v>Componentes mecánicos</x:v>
      </x:c>
      <x:c r="E476" s="10" t="n">
        <x:v>7578.74</x:v>
      </x:c>
      <x:c r="F476" s="12" t="n">
        <x:v>46255</x:v>
      </x:c>
      <x:c r="G476" s="12" t="n">
        <x:v>46256</x:v>
      </x:c>
      <x:c r="H476" t="n">
        <x:v>275</x:v>
      </x:c>
      <x:c r="I476" t="n">
        <x:v>0</x:v>
      </x:c>
      <x:c r="J476" t="str">
        <x:v>Ninguna</x:v>
      </x:c>
      <x:c r="K476" t="str">
        <x:v>No</x:v>
      </x:c>
      <x:c r="L476" t="str">
        <x:v>Barcelona</x:v>
      </x:c>
      <x:c r="M476" t="n">
        <x:f>IF(AND(B476&gt;=DATE(2026,7,1),B476&lt;=DATE(2026,9,30),G476&gt;=DATE(2026,7,1),G476&lt;=DATE(2026,9,30)),1,0)</x:f>
        <x:v>1</x:v>
      </x:c>
      <x:c r="N476" t="n">
        <x:f>IF(M476=1,IF(G476&lt;=F476,1,0),0)</x:f>
        <x:v>0</x:v>
      </x:c>
      <x:c r="O476" t="n">
        <x:f>IF(AND(M476=1,K476="Sí",G476&gt;F476),1,0)</x:f>
        <x:v>0</x:v>
      </x:c>
      <x:c r="P476" t="n">
        <x:f>IF(AND(M476=1,I476&gt;0),1,0)</x:f>
        <x:v>0</x:v>
      </x:c>
      <x:c r="Q476" t="n">
        <x:f>IF(AND(B476&gt;=DATE(2026,7,1),B476&lt;=DATE(2026,9,30),G476&gt;=DATE(2026,10,1),G476&lt;=DATE(2026,10,7)),1,0)</x:f>
        <x:v>0</x:v>
      </x:c>
      <x:c r="R476" t="n">
        <x:f>IF(AND(B476&gt;=DATE(2026,7,1),B476&lt;=DATE(2026,9,30),G476&gt;DATE(2026,10,7)),1,0)</x:f>
        <x:v>0</x:v>
      </x:c>
      <x:c r="S476" t="n">
        <x:f>IF(AND(M476=1,J476&lt;&gt;"Ninguna"),1,0)</x:f>
        <x:v>0</x:v>
      </x:c>
    </x:row>
    <x:row r="477">
      <x:c r="A477" t="str">
        <x:v>PED-0476</x:v>
      </x:c>
      <x:c r="B477" s="12" t="n">
        <x:v>46275</x:v>
      </x:c>
      <x:c r="C477" t="str">
        <x:v>ElectraSupply</x:v>
      </x:c>
      <x:c r="D477" t="str">
        <x:v>Componentes eléctricos</x:v>
      </x:c>
      <x:c r="E477" s="10" t="n">
        <x:v>6541.39</x:v>
      </x:c>
      <x:c r="F477" s="12" t="n">
        <x:v>46289</x:v>
      </x:c>
      <x:c r="G477" s="12" t="n">
        <x:v>46290</x:v>
      </x:c>
      <x:c r="H477" t="n">
        <x:v>197</x:v>
      </x:c>
      <x:c r="I477" t="n">
        <x:v>0</x:v>
      </x:c>
      <x:c r="J477" t="str">
        <x:v>Ninguna</x:v>
      </x:c>
      <x:c r="K477" t="str">
        <x:v>Sí</x:v>
      </x:c>
      <x:c r="L477" t="str">
        <x:v>Zaragoza</x:v>
      </x:c>
      <x:c r="M477" t="n">
        <x:f>IF(AND(B477&gt;=DATE(2026,7,1),B477&lt;=DATE(2026,9,30),G477&gt;=DATE(2026,7,1),G477&lt;=DATE(2026,9,30)),1,0)</x:f>
        <x:v>1</x:v>
      </x:c>
      <x:c r="N477" t="n">
        <x:f>IF(M477=1,IF(G477&lt;=F477,1,0),0)</x:f>
        <x:v>0</x:v>
      </x:c>
      <x:c r="O477" t="n">
        <x:f>IF(AND(M477=1,K477="Sí",G477&gt;F477),1,0)</x:f>
        <x:v>1</x:v>
      </x:c>
      <x:c r="P477" t="n">
        <x:f>IF(AND(M477=1,I477&gt;0),1,0)</x:f>
        <x:v>0</x:v>
      </x:c>
      <x:c r="Q477" t="n">
        <x:f>IF(AND(B477&gt;=DATE(2026,7,1),B477&lt;=DATE(2026,9,30),G477&gt;=DATE(2026,10,1),G477&lt;=DATE(2026,10,7)),1,0)</x:f>
        <x:v>0</x:v>
      </x:c>
      <x:c r="R477" t="n">
        <x:f>IF(AND(B477&gt;=DATE(2026,7,1),B477&lt;=DATE(2026,9,30),G477&gt;DATE(2026,10,7)),1,0)</x:f>
        <x:v>0</x:v>
      </x:c>
      <x:c r="S477" t="n">
        <x:f>IF(AND(M477=1,J477&lt;&gt;"Ninguna"),1,0)</x:f>
        <x:v>0</x:v>
      </x:c>
    </x:row>
    <x:row r="478">
      <x:c r="A478" t="str">
        <x:v>PED-0477</x:v>
      </x:c>
      <x:c r="B478" s="12" t="n">
        <x:v>46289</x:v>
      </x:c>
      <x:c r="C478" t="str">
        <x:v>MecaParts</x:v>
      </x:c>
      <x:c r="D478" t="str">
        <x:v>Componentes mecánicos</x:v>
      </x:c>
      <x:c r="E478" s="10" t="n">
        <x:v>7234.54</x:v>
      </x:c>
      <x:c r="F478" s="12" t="n">
        <x:v>46298</x:v>
      </x:c>
      <x:c r="G478" s="12" t="n">
        <x:v>46311</x:v>
      </x:c>
      <x:c r="H478" t="n">
        <x:v>226</x:v>
      </x:c>
      <x:c r="I478" t="n">
        <x:v>0</x:v>
      </x:c>
      <x:c r="J478" t="str">
        <x:v>Retraso</x:v>
      </x:c>
      <x:c r="K478" t="str">
        <x:v>No</x:v>
      </x:c>
      <x:c r="L478" t="str">
        <x:v>Zaragoza</x:v>
      </x:c>
      <x:c r="M478" t="n">
        <x:f>IF(AND(B478&gt;=DATE(2026,7,1),B478&lt;=DATE(2026,9,30),G478&gt;=DATE(2026,7,1),G478&lt;=DATE(2026,9,30)),1,0)</x:f>
        <x:v>0</x:v>
      </x:c>
      <x:c r="N478" t="n">
        <x:f>IF(M478=1,IF(G478&lt;=F478,1,0),0)</x:f>
        <x:v>0</x:v>
      </x:c>
      <x:c r="O478" t="n">
        <x:f>IF(AND(M478=1,K478="Sí",G478&gt;F478),1,0)</x:f>
        <x:v>0</x:v>
      </x:c>
      <x:c r="P478" t="n">
        <x:f>IF(AND(M478=1,I478&gt;0),1,0)</x:f>
        <x:v>0</x:v>
      </x:c>
      <x:c r="Q478" t="n">
        <x:f>IF(AND(B478&gt;=DATE(2026,7,1),B478&lt;=DATE(2026,9,30),G478&gt;=DATE(2026,10,1),G478&lt;=DATE(2026,10,7)),1,0)</x:f>
        <x:v>0</x:v>
      </x:c>
      <x:c r="R478" t="n">
        <x:f>IF(AND(B478&gt;=DATE(2026,7,1),B478&lt;=DATE(2026,9,30),G478&gt;DATE(2026,10,7)),1,0)</x:f>
        <x:v>1</x:v>
      </x:c>
      <x:c r="S478" t="n">
        <x:f>IF(AND(M478=1,J478&lt;&gt;"Ninguna"),1,0)</x:f>
        <x:v>0</x:v>
      </x:c>
    </x:row>
    <x:row r="479">
      <x:c r="A479" t="str">
        <x:v>PED-0478</x:v>
      </x:c>
      <x:c r="B479" s="12" t="n">
        <x:v>46206</x:v>
      </x:c>
      <x:c r="C479" t="str">
        <x:v>MecaParts</x:v>
      </x:c>
      <x:c r="D479" t="str">
        <x:v>Componentes mecánicos</x:v>
      </x:c>
      <x:c r="E479" s="10" t="n">
        <x:v>8965.29</x:v>
      </x:c>
      <x:c r="F479" s="12" t="n">
        <x:v>46216</x:v>
      </x:c>
      <x:c r="G479" s="12" t="n">
        <x:v>46215</x:v>
      </x:c>
      <x:c r="H479" t="n">
        <x:v>311</x:v>
      </x:c>
      <x:c r="I479" t="n">
        <x:v>0</x:v>
      </x:c>
      <x:c r="J479" t="str">
        <x:v>Ninguna</x:v>
      </x:c>
      <x:c r="K479" t="str">
        <x:v>No</x:v>
      </x:c>
      <x:c r="L479" t="str">
        <x:v>Barcelona</x:v>
      </x:c>
      <x:c r="M479" t="n">
        <x:f>IF(AND(B479&gt;=DATE(2026,7,1),B479&lt;=DATE(2026,9,30),G479&gt;=DATE(2026,7,1),G479&lt;=DATE(2026,9,30)),1,0)</x:f>
        <x:v>1</x:v>
      </x:c>
      <x:c r="N479" t="n">
        <x:f>IF(M479=1,IF(G479&lt;=F479,1,0),0)</x:f>
        <x:v>1</x:v>
      </x:c>
      <x:c r="O479" t="n">
        <x:f>IF(AND(M479=1,K479="Sí",G479&gt;F479),1,0)</x:f>
        <x:v>0</x:v>
      </x:c>
      <x:c r="P479" t="n">
        <x:f>IF(AND(M479=1,I479&gt;0),1,0)</x:f>
        <x:v>0</x:v>
      </x:c>
      <x:c r="Q479" t="n">
        <x:f>IF(AND(B479&gt;=DATE(2026,7,1),B479&lt;=DATE(2026,9,30),G479&gt;=DATE(2026,10,1),G479&lt;=DATE(2026,10,7)),1,0)</x:f>
        <x:v>0</x:v>
      </x:c>
      <x:c r="R479" t="n">
        <x:f>IF(AND(B479&gt;=DATE(2026,7,1),B479&lt;=DATE(2026,9,30),G479&gt;DATE(2026,10,7)),1,0)</x:f>
        <x:v>0</x:v>
      </x:c>
      <x:c r="S479" t="n">
        <x:f>IF(AND(M479=1,J479&lt;&gt;"Ninguna"),1,0)</x:f>
        <x:v>0</x:v>
      </x:c>
    </x:row>
    <x:row r="480">
      <x:c r="A480" t="str">
        <x:v>PED-0479</x:v>
      </x:c>
      <x:c r="B480" s="12" t="n">
        <x:v>46230</x:v>
      </x:c>
      <x:c r="C480" t="str">
        <x:v>MecaParts</x:v>
      </x:c>
      <x:c r="D480" t="str">
        <x:v>Componentes mecánicos</x:v>
      </x:c>
      <x:c r="E480" s="10" t="n">
        <x:v>2480.2</x:v>
      </x:c>
      <x:c r="F480" s="12" t="n">
        <x:v>46238</x:v>
      </x:c>
      <x:c r="G480" s="12" t="n">
        <x:v>46238</x:v>
      </x:c>
      <x:c r="H480" t="n">
        <x:v>127</x:v>
      </x:c>
      <x:c r="I480" t="n">
        <x:v>0</x:v>
      </x:c>
      <x:c r="J480" t="str">
        <x:v>Ninguna</x:v>
      </x:c>
      <x:c r="K480" t="str">
        <x:v>No</x:v>
      </x:c>
      <x:c r="L480" t="str">
        <x:v>Zaragoza</x:v>
      </x:c>
      <x:c r="M480" t="n">
        <x:f>IF(AND(B480&gt;=DATE(2026,7,1),B480&lt;=DATE(2026,9,30),G480&gt;=DATE(2026,7,1),G480&lt;=DATE(2026,9,30)),1,0)</x:f>
        <x:v>1</x:v>
      </x:c>
      <x:c r="N480" t="n">
        <x:f>IF(M480=1,IF(G480&lt;=F480,1,0),0)</x:f>
        <x:v>1</x:v>
      </x:c>
      <x:c r="O480" t="n">
        <x:f>IF(AND(M480=1,K480="Sí",G480&gt;F480),1,0)</x:f>
        <x:v>0</x:v>
      </x:c>
      <x:c r="P480" t="n">
        <x:f>IF(AND(M480=1,I480&gt;0),1,0)</x:f>
        <x:v>0</x:v>
      </x:c>
      <x:c r="Q480" t="n">
        <x:f>IF(AND(B480&gt;=DATE(2026,7,1),B480&lt;=DATE(2026,9,30),G480&gt;=DATE(2026,10,1),G480&lt;=DATE(2026,10,7)),1,0)</x:f>
        <x:v>0</x:v>
      </x:c>
      <x:c r="R480" t="n">
        <x:f>IF(AND(B480&gt;=DATE(2026,7,1),B480&lt;=DATE(2026,9,30),G480&gt;DATE(2026,10,7)),1,0)</x:f>
        <x:v>0</x:v>
      </x:c>
      <x:c r="S480" t="n">
        <x:f>IF(AND(M480=1,J480&lt;&gt;"Ninguna"),1,0)</x:f>
        <x:v>0</x:v>
      </x:c>
    </x:row>
    <x:row r="481">
      <x:c r="A481" t="str">
        <x:v>PED-0480</x:v>
      </x:c>
      <x:c r="B481" s="12" t="n">
        <x:v>46218</x:v>
      </x:c>
      <x:c r="C481" t="str">
        <x:v>PackPro</x:v>
      </x:c>
      <x:c r="D481" t="str">
        <x:v>Embalaje</x:v>
      </x:c>
      <x:c r="E481" s="10" t="n">
        <x:v>2245.39</x:v>
      </x:c>
      <x:c r="F481" s="12" t="n">
        <x:v>46224</x:v>
      </x:c>
      <x:c r="G481" s="12" t="n">
        <x:v>46222</x:v>
      </x:c>
      <x:c r="H481" t="n">
        <x:v>66</x:v>
      </x:c>
      <x:c r="I481" t="n">
        <x:v>0</x:v>
      </x:c>
      <x:c r="J481" t="str">
        <x:v>Ninguna</x:v>
      </x:c>
      <x:c r="K481" t="str">
        <x:v>No</x:v>
      </x:c>
      <x:c r="L481" t="str">
        <x:v>Zaragoza</x:v>
      </x:c>
      <x:c r="M481" t="n">
        <x:f>IF(AND(B481&gt;=DATE(2026,7,1),B481&lt;=DATE(2026,9,30),G481&gt;=DATE(2026,7,1),G481&lt;=DATE(2026,9,30)),1,0)</x:f>
        <x:v>1</x:v>
      </x:c>
      <x:c r="N481" t="n">
        <x:f>IF(M481=1,IF(G481&lt;=F481,1,0),0)</x:f>
        <x:v>1</x:v>
      </x:c>
      <x:c r="O481" t="n">
        <x:f>IF(AND(M481=1,K481="Sí",G481&gt;F481),1,0)</x:f>
        <x:v>0</x:v>
      </x:c>
      <x:c r="P481" t="n">
        <x:f>IF(AND(M481=1,I481&gt;0),1,0)</x:f>
        <x:v>0</x:v>
      </x:c>
      <x:c r="Q481" t="n">
        <x:f>IF(AND(B481&gt;=DATE(2026,7,1),B481&lt;=DATE(2026,9,30),G481&gt;=DATE(2026,10,1),G481&lt;=DATE(2026,10,7)),1,0)</x:f>
        <x:v>0</x:v>
      </x:c>
      <x:c r="R481" t="n">
        <x:f>IF(AND(B481&gt;=DATE(2026,7,1),B481&lt;=DATE(2026,9,30),G481&gt;DATE(2026,10,7)),1,0)</x:f>
        <x:v>0</x:v>
      </x:c>
      <x:c r="S481" t="n">
        <x:f>IF(AND(M481=1,J481&lt;&gt;"Ninguna"),1,0)</x:f>
        <x:v>0</x:v>
      </x:c>
    </x:row>
    <x:row r="482">
      <x:c r="A482" t="str">
        <x:v>PED-0481</x:v>
      </x:c>
      <x:c r="B482" s="12" t="n">
        <x:v>46252</x:v>
      </x:c>
      <x:c r="C482" t="str">
        <x:v>ElectraSupply</x:v>
      </x:c>
      <x:c r="D482" t="str">
        <x:v>Componentes eléctricos</x:v>
      </x:c>
      <x:c r="E482" s="10" t="n">
        <x:v>8007.51</x:v>
      </x:c>
      <x:c r="F482" s="12" t="n">
        <x:v>46266</x:v>
      </x:c>
      <x:c r="G482" s="12" t="n">
        <x:v>46264</x:v>
      </x:c>
      <x:c r="H482" t="n">
        <x:v>384</x:v>
      </x:c>
      <x:c r="I482" t="n">
        <x:v>0</x:v>
      </x:c>
      <x:c r="J482" t="str">
        <x:v>Ninguna</x:v>
      </x:c>
      <x:c r="K482" t="str">
        <x:v>No</x:v>
      </x:c>
      <x:c r="L482" t="str">
        <x:v>Barcelona</x:v>
      </x:c>
      <x:c r="M482" t="n">
        <x:f>IF(AND(B482&gt;=DATE(2026,7,1),B482&lt;=DATE(2026,9,30),G482&gt;=DATE(2026,7,1),G482&lt;=DATE(2026,9,30)),1,0)</x:f>
        <x:v>1</x:v>
      </x:c>
      <x:c r="N482" t="n">
        <x:f>IF(M482=1,IF(G482&lt;=F482,1,0),0)</x:f>
        <x:v>1</x:v>
      </x:c>
      <x:c r="O482" t="n">
        <x:f>IF(AND(M482=1,K482="Sí",G482&gt;F482),1,0)</x:f>
        <x:v>0</x:v>
      </x:c>
      <x:c r="P482" t="n">
        <x:f>IF(AND(M482=1,I482&gt;0),1,0)</x:f>
        <x:v>0</x:v>
      </x:c>
      <x:c r="Q482" t="n">
        <x:f>IF(AND(B482&gt;=DATE(2026,7,1),B482&lt;=DATE(2026,9,30),G482&gt;=DATE(2026,10,1),G482&lt;=DATE(2026,10,7)),1,0)</x:f>
        <x:v>0</x:v>
      </x:c>
      <x:c r="R482" t="n">
        <x:f>IF(AND(B482&gt;=DATE(2026,7,1),B482&lt;=DATE(2026,9,30),G482&gt;DATE(2026,10,7)),1,0)</x:f>
        <x:v>0</x:v>
      </x:c>
      <x:c r="S482" t="n">
        <x:f>IF(AND(M482=1,J482&lt;&gt;"Ninguna"),1,0)</x:f>
        <x:v>0</x:v>
      </x:c>
    </x:row>
    <x:row r="483">
      <x:c r="A483" t="str">
        <x:v>PED-0482</x:v>
      </x:c>
      <x:c r="B483" s="12" t="n">
        <x:v>46272</x:v>
      </x:c>
      <x:c r="C483" t="str">
        <x:v>MetalNova</x:v>
      </x:c>
      <x:c r="D483" t="str">
        <x:v>Componentes mecánicos</x:v>
      </x:c>
      <x:c r="E483" s="10" t="n">
        <x:v>5509.56</x:v>
      </x:c>
      <x:c r="F483" s="12" t="n">
        <x:v>46284</x:v>
      </x:c>
      <x:c r="G483" s="12" t="n">
        <x:v>46282</x:v>
      </x:c>
      <x:c r="H483" t="n">
        <x:v>139</x:v>
      </x:c>
      <x:c r="I483" t="n">
        <x:v>0</x:v>
      </x:c>
      <x:c r="J483" t="str">
        <x:v>Ninguna</x:v>
      </x:c>
      <x:c r="K483" t="str">
        <x:v>No</x:v>
      </x:c>
      <x:c r="L483" t="str">
        <x:v>Zaragoza</x:v>
      </x:c>
      <x:c r="M483" t="n">
        <x:f>IF(AND(B483&gt;=DATE(2026,7,1),B483&lt;=DATE(2026,9,30),G483&gt;=DATE(2026,7,1),G483&lt;=DATE(2026,9,30)),1,0)</x:f>
        <x:v>1</x:v>
      </x:c>
      <x:c r="N483" t="n">
        <x:f>IF(M483=1,IF(G483&lt;=F483,1,0),0)</x:f>
        <x:v>1</x:v>
      </x:c>
      <x:c r="O483" t="n">
        <x:f>IF(AND(M483=1,K483="Sí",G483&gt;F483),1,0)</x:f>
        <x:v>0</x:v>
      </x:c>
      <x:c r="P483" t="n">
        <x:f>IF(AND(M483=1,I483&gt;0),1,0)</x:f>
        <x:v>0</x:v>
      </x:c>
      <x:c r="Q483" t="n">
        <x:f>IF(AND(B483&gt;=DATE(2026,7,1),B483&lt;=DATE(2026,9,30),G483&gt;=DATE(2026,10,1),G483&lt;=DATE(2026,10,7)),1,0)</x:f>
        <x:v>0</x:v>
      </x:c>
      <x:c r="R483" t="n">
        <x:f>IF(AND(B483&gt;=DATE(2026,7,1),B483&lt;=DATE(2026,9,30),G483&gt;DATE(2026,10,7)),1,0)</x:f>
        <x:v>0</x:v>
      </x:c>
      <x:c r="S483" t="n">
        <x:f>IF(AND(M483=1,J483&lt;&gt;"Ninguna"),1,0)</x:f>
        <x:v>0</x:v>
      </x:c>
    </x:row>
    <x:row r="484">
      <x:c r="A484" t="str">
        <x:v>PED-0483</x:v>
      </x:c>
      <x:c r="B484" s="12" t="n">
        <x:v>46221</x:v>
      </x:c>
      <x:c r="C484" t="str">
        <x:v>MecaParts</x:v>
      </x:c>
      <x:c r="D484" t="str">
        <x:v>Componentes mecánicos</x:v>
      </x:c>
      <x:c r="E484" s="10" t="n">
        <x:v>3666.27</x:v>
      </x:c>
      <x:c r="F484" s="12" t="n">
        <x:v>46230</x:v>
      </x:c>
      <x:c r="G484" s="12" t="n">
        <x:v>46228</x:v>
      </x:c>
      <x:c r="H484" t="n">
        <x:v>76</x:v>
      </x:c>
      <x:c r="I484" t="n">
        <x:v>0</x:v>
      </x:c>
      <x:c r="J484" t="str">
        <x:v>Ninguna</x:v>
      </x:c>
      <x:c r="K484" t="str">
        <x:v>No</x:v>
      </x:c>
      <x:c r="L484" t="str">
        <x:v>Barcelona</x:v>
      </x:c>
      <x:c r="M484" t="n">
        <x:f>IF(AND(B484&gt;=DATE(2026,7,1),B484&lt;=DATE(2026,9,30),G484&gt;=DATE(2026,7,1),G484&lt;=DATE(2026,9,30)),1,0)</x:f>
        <x:v>1</x:v>
      </x:c>
      <x:c r="N484" t="n">
        <x:f>IF(M484=1,IF(G484&lt;=F484,1,0),0)</x:f>
        <x:v>1</x:v>
      </x:c>
      <x:c r="O484" t="n">
        <x:f>IF(AND(M484=1,K484="Sí",G484&gt;F484),1,0)</x:f>
        <x:v>0</x:v>
      </x:c>
      <x:c r="P484" t="n">
        <x:f>IF(AND(M484=1,I484&gt;0),1,0)</x:f>
        <x:v>0</x:v>
      </x:c>
      <x:c r="Q484" t="n">
        <x:f>IF(AND(B484&gt;=DATE(2026,7,1),B484&lt;=DATE(2026,9,30),G484&gt;=DATE(2026,10,1),G484&lt;=DATE(2026,10,7)),1,0)</x:f>
        <x:v>0</x:v>
      </x:c>
      <x:c r="R484" t="n">
        <x:f>IF(AND(B484&gt;=DATE(2026,7,1),B484&lt;=DATE(2026,9,30),G484&gt;DATE(2026,10,7)),1,0)</x:f>
        <x:v>0</x:v>
      </x:c>
      <x:c r="S484" t="n">
        <x:f>IF(AND(M484=1,J484&lt;&gt;"Ninguna"),1,0)</x:f>
        <x:v>0</x:v>
      </x:c>
    </x:row>
    <x:row r="485">
      <x:c r="A485" t="str">
        <x:v>PED-0484</x:v>
      </x:c>
      <x:c r="B485" s="12" t="n">
        <x:v>46207</x:v>
      </x:c>
      <x:c r="C485" t="str">
        <x:v>ElectraSupply</x:v>
      </x:c>
      <x:c r="D485" t="str">
        <x:v>Componentes eléctricos</x:v>
      </x:c>
      <x:c r="E485" s="10" t="n">
        <x:v>2153.64</x:v>
      </x:c>
      <x:c r="F485" s="12" t="n">
        <x:v>46220</x:v>
      </x:c>
      <x:c r="G485" s="12" t="n">
        <x:v>46227</x:v>
      </x:c>
      <x:c r="H485" t="n">
        <x:v>113</x:v>
      </x:c>
      <x:c r="I485" t="n">
        <x:v>0</x:v>
      </x:c>
      <x:c r="J485" t="str">
        <x:v>Ninguna</x:v>
      </x:c>
      <x:c r="K485" t="str">
        <x:v>Sí</x:v>
      </x:c>
      <x:c r="L485" t="str">
        <x:v>Barcelona</x:v>
      </x:c>
      <x:c r="M485" t="n">
        <x:f>IF(AND(B485&gt;=DATE(2026,7,1),B485&lt;=DATE(2026,9,30),G485&gt;=DATE(2026,7,1),G485&lt;=DATE(2026,9,30)),1,0)</x:f>
        <x:v>1</x:v>
      </x:c>
      <x:c r="N485" t="n">
        <x:f>IF(M485=1,IF(G485&lt;=F485,1,0),0)</x:f>
        <x:v>0</x:v>
      </x:c>
      <x:c r="O485" t="n">
        <x:f>IF(AND(M485=1,K485="Sí",G485&gt;F485),1,0)</x:f>
        <x:v>1</x:v>
      </x:c>
      <x:c r="P485" t="n">
        <x:f>IF(AND(M485=1,I485&gt;0),1,0)</x:f>
        <x:v>0</x:v>
      </x:c>
      <x:c r="Q485" t="n">
        <x:f>IF(AND(B485&gt;=DATE(2026,7,1),B485&lt;=DATE(2026,9,30),G485&gt;=DATE(2026,10,1),G485&lt;=DATE(2026,10,7)),1,0)</x:f>
        <x:v>0</x:v>
      </x:c>
      <x:c r="R485" t="n">
        <x:f>IF(AND(B485&gt;=DATE(2026,7,1),B485&lt;=DATE(2026,9,30),G485&gt;DATE(2026,10,7)),1,0)</x:f>
        <x:v>0</x:v>
      </x:c>
      <x:c r="S485" t="n">
        <x:f>IF(AND(M485=1,J485&lt;&gt;"Ninguna"),1,0)</x:f>
        <x:v>0</x:v>
      </x:c>
    </x:row>
    <x:row r="486">
      <x:c r="A486" t="str">
        <x:v>PED-0485</x:v>
      </x:c>
      <x:c r="B486" s="12" t="n">
        <x:v>46232</x:v>
      </x:c>
      <x:c r="C486" t="str">
        <x:v>MecaParts</x:v>
      </x:c>
      <x:c r="D486" t="str">
        <x:v>Componentes mecánicos</x:v>
      </x:c>
      <x:c r="E486" s="10" t="n">
        <x:v>10117.63</x:v>
      </x:c>
      <x:c r="F486" s="12" t="n">
        <x:v>46241</x:v>
      </x:c>
      <x:c r="G486" s="12" t="n">
        <x:v>46247</x:v>
      </x:c>
      <x:c r="H486" t="n">
        <x:v>333</x:v>
      </x:c>
      <x:c r="I486" t="n">
        <x:v>0</x:v>
      </x:c>
      <x:c r="J486" t="str">
        <x:v>Retraso</x:v>
      </x:c>
      <x:c r="K486" t="str">
        <x:v>No</x:v>
      </x:c>
      <x:c r="L486" t="str">
        <x:v>Valencia</x:v>
      </x:c>
      <x:c r="M486" t="n">
        <x:f>IF(AND(B486&gt;=DATE(2026,7,1),B486&lt;=DATE(2026,9,30),G486&gt;=DATE(2026,7,1),G486&lt;=DATE(2026,9,30)),1,0)</x:f>
        <x:v>1</x:v>
      </x:c>
      <x:c r="N486" t="n">
        <x:f>IF(M486=1,IF(G486&lt;=F486,1,0),0)</x:f>
        <x:v>0</x:v>
      </x:c>
      <x:c r="O486" t="n">
        <x:f>IF(AND(M486=1,K486="Sí",G486&gt;F486),1,0)</x:f>
        <x:v>0</x:v>
      </x:c>
      <x:c r="P486" t="n">
        <x:f>IF(AND(M486=1,I486&gt;0),1,0)</x:f>
        <x:v>0</x:v>
      </x:c>
      <x:c r="Q486" t="n">
        <x:f>IF(AND(B486&gt;=DATE(2026,7,1),B486&lt;=DATE(2026,9,30),G486&gt;=DATE(2026,10,1),G486&lt;=DATE(2026,10,7)),1,0)</x:f>
        <x:v>0</x:v>
      </x:c>
      <x:c r="R486" t="n">
        <x:f>IF(AND(B486&gt;=DATE(2026,7,1),B486&lt;=DATE(2026,9,30),G486&gt;DATE(2026,10,7)),1,0)</x:f>
        <x:v>0</x:v>
      </x:c>
      <x:c r="S486" t="n">
        <x:f>IF(AND(M486=1,J486&lt;&gt;"Ninguna"),1,0)</x:f>
        <x:v>1</x:v>
      </x:c>
    </x:row>
    <x:row r="487">
      <x:c r="A487" t="str">
        <x:v>PED-0486</x:v>
      </x:c>
      <x:c r="B487" s="12" t="n">
        <x:v>46206</x:v>
      </x:c>
      <x:c r="C487" t="str">
        <x:v>PackPro</x:v>
      </x:c>
      <x:c r="D487" t="str">
        <x:v>Embalaje</x:v>
      </x:c>
      <x:c r="E487" s="10" t="n">
        <x:v>3093.94</x:v>
      </x:c>
      <x:c r="F487" s="12" t="n">
        <x:v>46212</x:v>
      </x:c>
      <x:c r="G487" s="12" t="n">
        <x:v>46216</x:v>
      </x:c>
      <x:c r="H487" t="n">
        <x:v>93</x:v>
      </x:c>
      <x:c r="I487" t="n">
        <x:v>7</x:v>
      </x:c>
      <x:c r="J487" t="str">
        <x:v>Calidad</x:v>
      </x:c>
      <x:c r="K487" t="str">
        <x:v>No</x:v>
      </x:c>
      <x:c r="L487" t="str">
        <x:v>Zaragoza</x:v>
      </x:c>
      <x:c r="M487" t="n">
        <x:f>IF(AND(B487&gt;=DATE(2026,7,1),B487&lt;=DATE(2026,9,30),G487&gt;=DATE(2026,7,1),G487&lt;=DATE(2026,9,30)),1,0)</x:f>
        <x:v>1</x:v>
      </x:c>
      <x:c r="N487" t="n">
        <x:f>IF(M487=1,IF(G487&lt;=F487,1,0),0)</x:f>
        <x:v>0</x:v>
      </x:c>
      <x:c r="O487" t="n">
        <x:f>IF(AND(M487=1,K487="Sí",G487&gt;F487),1,0)</x:f>
        <x:v>0</x:v>
      </x:c>
      <x:c r="P487" t="n">
        <x:f>IF(AND(M487=1,I487&gt;0),1,0)</x:f>
        <x:v>1</x:v>
      </x:c>
      <x:c r="Q487" t="n">
        <x:f>IF(AND(B487&gt;=DATE(2026,7,1),B487&lt;=DATE(2026,9,30),G487&gt;=DATE(2026,10,1),G487&lt;=DATE(2026,10,7)),1,0)</x:f>
        <x:v>0</x:v>
      </x:c>
      <x:c r="R487" t="n">
        <x:f>IF(AND(B487&gt;=DATE(2026,7,1),B487&lt;=DATE(2026,9,30),G487&gt;DATE(2026,10,7)),1,0)</x:f>
        <x:v>0</x:v>
      </x:c>
      <x:c r="S487" t="n">
        <x:f>IF(AND(M487=1,J487&lt;&gt;"Ninguna"),1,0)</x:f>
        <x:v>1</x:v>
      </x:c>
    </x:row>
    <x:row r="488">
      <x:c r="A488" t="str">
        <x:v>PED-0487</x:v>
      </x:c>
      <x:c r="B488" s="12" t="n">
        <x:v>46212</x:v>
      </x:c>
      <x:c r="C488" t="str">
        <x:v>ElectraSupply</x:v>
      </x:c>
      <x:c r="D488" t="str">
        <x:v>Componentes eléctricos</x:v>
      </x:c>
      <x:c r="E488" s="10" t="n">
        <x:v>4355.59</x:v>
      </x:c>
      <x:c r="F488" s="12" t="n">
        <x:v>46225</x:v>
      </x:c>
      <x:c r="G488" s="12" t="n">
        <x:v>46231</x:v>
      </x:c>
      <x:c r="H488" t="n">
        <x:v>124</x:v>
      </x:c>
      <x:c r="I488" t="n">
        <x:v>0</x:v>
      </x:c>
      <x:c r="J488" t="str">
        <x:v>Ninguna</x:v>
      </x:c>
      <x:c r="K488" t="str">
        <x:v>No</x:v>
      </x:c>
      <x:c r="L488" t="str">
        <x:v>Zaragoza</x:v>
      </x:c>
      <x:c r="M488" t="n">
        <x:f>IF(AND(B488&gt;=DATE(2026,7,1),B488&lt;=DATE(2026,9,30),G488&gt;=DATE(2026,7,1),G488&lt;=DATE(2026,9,30)),1,0)</x:f>
        <x:v>1</x:v>
      </x:c>
      <x:c r="N488" t="n">
        <x:f>IF(M488=1,IF(G488&lt;=F488,1,0),0)</x:f>
        <x:v>0</x:v>
      </x:c>
      <x:c r="O488" t="n">
        <x:f>IF(AND(M488=1,K488="Sí",G488&gt;F488),1,0)</x:f>
        <x:v>0</x:v>
      </x:c>
      <x:c r="P488" t="n">
        <x:f>IF(AND(M488=1,I488&gt;0),1,0)</x:f>
        <x:v>0</x:v>
      </x:c>
      <x:c r="Q488" t="n">
        <x:f>IF(AND(B488&gt;=DATE(2026,7,1),B488&lt;=DATE(2026,9,30),G488&gt;=DATE(2026,10,1),G488&lt;=DATE(2026,10,7)),1,0)</x:f>
        <x:v>0</x:v>
      </x:c>
      <x:c r="R488" t="n">
        <x:f>IF(AND(B488&gt;=DATE(2026,7,1),B488&lt;=DATE(2026,9,30),G488&gt;DATE(2026,10,7)),1,0)</x:f>
        <x:v>0</x:v>
      </x:c>
      <x:c r="S488" t="n">
        <x:f>IF(AND(M488=1,J488&lt;&gt;"Ninguna"),1,0)</x:f>
        <x:v>0</x:v>
      </x:c>
    </x:row>
    <x:row r="489">
      <x:c r="A489" t="str">
        <x:v>PED-0488</x:v>
      </x:c>
      <x:c r="B489" s="12" t="n">
        <x:v>46247</x:v>
      </x:c>
      <x:c r="C489" t="str">
        <x:v>MetalNova</x:v>
      </x:c>
      <x:c r="D489" t="str">
        <x:v>Componentes mecánicos</x:v>
      </x:c>
      <x:c r="E489" s="10" t="n">
        <x:v>986.42</x:v>
      </x:c>
      <x:c r="F489" s="12" t="n">
        <x:v>46257</x:v>
      </x:c>
      <x:c r="G489" s="12" t="n">
        <x:v>46255</x:v>
      </x:c>
      <x:c r="H489" t="n">
        <x:v>39</x:v>
      </x:c>
      <x:c r="I489" t="n">
        <x:v>0</x:v>
      </x:c>
      <x:c r="J489" t="str">
        <x:v>Ninguna</x:v>
      </x:c>
      <x:c r="K489" t="str">
        <x:v>Sí</x:v>
      </x:c>
      <x:c r="L489" t="str">
        <x:v>Barcelona</x:v>
      </x:c>
      <x:c r="M489" t="n">
        <x:f>IF(AND(B489&gt;=DATE(2026,7,1),B489&lt;=DATE(2026,9,30),G489&gt;=DATE(2026,7,1),G489&lt;=DATE(2026,9,30)),1,0)</x:f>
        <x:v>1</x:v>
      </x:c>
      <x:c r="N489" t="n">
        <x:f>IF(M489=1,IF(G489&lt;=F489,1,0),0)</x:f>
        <x:v>1</x:v>
      </x:c>
      <x:c r="O489" t="n">
        <x:f>IF(AND(M489=1,K489="Sí",G489&gt;F489),1,0)</x:f>
        <x:v>0</x:v>
      </x:c>
      <x:c r="P489" t="n">
        <x:f>IF(AND(M489=1,I489&gt;0),1,0)</x:f>
        <x:v>0</x:v>
      </x:c>
      <x:c r="Q489" t="n">
        <x:f>IF(AND(B489&gt;=DATE(2026,7,1),B489&lt;=DATE(2026,9,30),G489&gt;=DATE(2026,10,1),G489&lt;=DATE(2026,10,7)),1,0)</x:f>
        <x:v>0</x:v>
      </x:c>
      <x:c r="R489" t="n">
        <x:f>IF(AND(B489&gt;=DATE(2026,7,1),B489&lt;=DATE(2026,9,30),G489&gt;DATE(2026,10,7)),1,0)</x:f>
        <x:v>0</x:v>
      </x:c>
      <x:c r="S489" t="n">
        <x:f>IF(AND(M489=1,J489&lt;&gt;"Ninguna"),1,0)</x:f>
        <x:v>0</x:v>
      </x:c>
    </x:row>
    <x:row r="490">
      <x:c r="A490" t="str">
        <x:v>PED-0489</x:v>
      </x:c>
      <x:c r="B490" s="12" t="n">
        <x:v>46258</x:v>
      </x:c>
      <x:c r="C490" t="str">
        <x:v>ElectraSupply</x:v>
      </x:c>
      <x:c r="D490" t="str">
        <x:v>Componentes eléctricos</x:v>
      </x:c>
      <x:c r="E490" s="10" t="n">
        <x:v>3844.74</x:v>
      </x:c>
      <x:c r="F490" s="12" t="n">
        <x:v>46270</x:v>
      </x:c>
      <x:c r="G490" s="12" t="n">
        <x:v>46272</x:v>
      </x:c>
      <x:c r="H490" t="n">
        <x:v>184</x:v>
      </x:c>
      <x:c r="I490" t="n">
        <x:v>8</x:v>
      </x:c>
      <x:c r="J490" t="str">
        <x:v>Calidad</x:v>
      </x:c>
      <x:c r="K490" t="str">
        <x:v>No</x:v>
      </x:c>
      <x:c r="L490" t="str">
        <x:v>Valencia</x:v>
      </x:c>
      <x:c r="M490" t="n">
        <x:f>IF(AND(B490&gt;=DATE(2026,7,1),B490&lt;=DATE(2026,9,30),G490&gt;=DATE(2026,7,1),G490&lt;=DATE(2026,9,30)),1,0)</x:f>
        <x:v>1</x:v>
      </x:c>
      <x:c r="N490" t="n">
        <x:f>IF(M490=1,IF(G490&lt;=F490,1,0),0)</x:f>
        <x:v>0</x:v>
      </x:c>
      <x:c r="O490" t="n">
        <x:f>IF(AND(M490=1,K490="Sí",G490&gt;F490),1,0)</x:f>
        <x:v>0</x:v>
      </x:c>
      <x:c r="P490" t="n">
        <x:f>IF(AND(M490=1,I490&gt;0),1,0)</x:f>
        <x:v>1</x:v>
      </x:c>
      <x:c r="Q490" t="n">
        <x:f>IF(AND(B490&gt;=DATE(2026,7,1),B490&lt;=DATE(2026,9,30),G490&gt;=DATE(2026,10,1),G490&lt;=DATE(2026,10,7)),1,0)</x:f>
        <x:v>0</x:v>
      </x:c>
      <x:c r="R490" t="n">
        <x:f>IF(AND(B490&gt;=DATE(2026,7,1),B490&lt;=DATE(2026,9,30),G490&gt;DATE(2026,10,7)),1,0)</x:f>
        <x:v>0</x:v>
      </x:c>
      <x:c r="S490" t="n">
        <x:f>IF(AND(M490=1,J490&lt;&gt;"Ninguna"),1,0)</x:f>
        <x:v>1</x:v>
      </x:c>
    </x:row>
    <x:row r="491">
      <x:c r="A491" t="str">
        <x:v>PED-0490</x:v>
      </x:c>
      <x:c r="B491" s="12" t="n">
        <x:v>46219</x:v>
      </x:c>
      <x:c r="C491" t="str">
        <x:v>MetalNova</x:v>
      </x:c>
      <x:c r="D491" t="str">
        <x:v>Materia prima</x:v>
      </x:c>
      <x:c r="E491" s="10" t="n">
        <x:v>6552.97</x:v>
      </x:c>
      <x:c r="F491" s="12" t="n">
        <x:v>46229</x:v>
      </x:c>
      <x:c r="G491" s="12" t="n">
        <x:v>46229</x:v>
      </x:c>
      <x:c r="H491" t="n">
        <x:v>298</x:v>
      </x:c>
      <x:c r="I491" t="n">
        <x:v>0</x:v>
      </x:c>
      <x:c r="J491" t="str">
        <x:v>Ninguna</x:v>
      </x:c>
      <x:c r="K491" t="str">
        <x:v>No</x:v>
      </x:c>
      <x:c r="L491" t="str">
        <x:v>Zaragoza</x:v>
      </x:c>
      <x:c r="M491" t="n">
        <x:f>IF(AND(B491&gt;=DATE(2026,7,1),B491&lt;=DATE(2026,9,30),G491&gt;=DATE(2026,7,1),G491&lt;=DATE(2026,9,30)),1,0)</x:f>
        <x:v>1</x:v>
      </x:c>
      <x:c r="N491" t="n">
        <x:f>IF(M491=1,IF(G491&lt;=F491,1,0),0)</x:f>
        <x:v>1</x:v>
      </x:c>
      <x:c r="O491" t="n">
        <x:f>IF(AND(M491=1,K491="Sí",G491&gt;F491),1,0)</x:f>
        <x:v>0</x:v>
      </x:c>
      <x:c r="P491" t="n">
        <x:f>IF(AND(M491=1,I491&gt;0),1,0)</x:f>
        <x:v>0</x:v>
      </x:c>
      <x:c r="Q491" t="n">
        <x:f>IF(AND(B491&gt;=DATE(2026,7,1),B491&lt;=DATE(2026,9,30),G491&gt;=DATE(2026,10,1),G491&lt;=DATE(2026,10,7)),1,0)</x:f>
        <x:v>0</x:v>
      </x:c>
      <x:c r="R491" t="n">
        <x:f>IF(AND(B491&gt;=DATE(2026,7,1),B491&lt;=DATE(2026,9,30),G491&gt;DATE(2026,10,7)),1,0)</x:f>
        <x:v>0</x:v>
      </x:c>
      <x:c r="S491" t="n">
        <x:f>IF(AND(M491=1,J491&lt;&gt;"Ninguna"),1,0)</x:f>
        <x:v>0</x:v>
      </x:c>
    </x:row>
    <x:row r="492">
      <x:c r="A492" t="str">
        <x:v>PED-0491</x:v>
      </x:c>
      <x:c r="B492" s="12" t="n">
        <x:v>46207</x:v>
      </x:c>
      <x:c r="C492" t="str">
        <x:v>MetalNova</x:v>
      </x:c>
      <x:c r="D492" t="str">
        <x:v>Componentes mecánicos</x:v>
      </x:c>
      <x:c r="E492" s="10" t="n">
        <x:v>2835.94</x:v>
      </x:c>
      <x:c r="F492" s="12" t="n">
        <x:v>46216</x:v>
      </x:c>
      <x:c r="G492" s="12" t="n">
        <x:v>46215</x:v>
      </x:c>
      <x:c r="H492" t="n">
        <x:v>337</x:v>
      </x:c>
      <x:c r="I492" t="n">
        <x:v>0</x:v>
      </x:c>
      <x:c r="J492" t="str">
        <x:v>Ninguna</x:v>
      </x:c>
      <x:c r="K492" t="str">
        <x:v>No</x:v>
      </x:c>
      <x:c r="L492" t="str">
        <x:v>Valencia</x:v>
      </x:c>
      <x:c r="M492" t="n">
        <x:f>IF(AND(B492&gt;=DATE(2026,7,1),B492&lt;=DATE(2026,9,30),G492&gt;=DATE(2026,7,1),G492&lt;=DATE(2026,9,30)),1,0)</x:f>
        <x:v>1</x:v>
      </x:c>
      <x:c r="N492" t="n">
        <x:f>IF(M492=1,IF(G492&lt;=F492,1,0),0)</x:f>
        <x:v>1</x:v>
      </x:c>
      <x:c r="O492" t="n">
        <x:f>IF(AND(M492=1,K492="Sí",G492&gt;F492),1,0)</x:f>
        <x:v>0</x:v>
      </x:c>
      <x:c r="P492" t="n">
        <x:f>IF(AND(M492=1,I492&gt;0),1,0)</x:f>
        <x:v>0</x:v>
      </x:c>
      <x:c r="Q492" t="n">
        <x:f>IF(AND(B492&gt;=DATE(2026,7,1),B492&lt;=DATE(2026,9,30),G492&gt;=DATE(2026,10,1),G492&lt;=DATE(2026,10,7)),1,0)</x:f>
        <x:v>0</x:v>
      </x:c>
      <x:c r="R492" t="n">
        <x:f>IF(AND(B492&gt;=DATE(2026,7,1),B492&lt;=DATE(2026,9,30),G492&gt;DATE(2026,10,7)),1,0)</x:f>
        <x:v>0</x:v>
      </x:c>
      <x:c r="S492" t="n">
        <x:f>IF(AND(M492=1,J492&lt;&gt;"Ninguna"),1,0)</x:f>
        <x:v>0</x:v>
      </x:c>
    </x:row>
    <x:row r="493">
      <x:c r="A493" t="str">
        <x:v>PED-0492</x:v>
      </x:c>
      <x:c r="B493" s="12" t="n">
        <x:v>46268</x:v>
      </x:c>
      <x:c r="C493" t="str">
        <x:v>MetalNova</x:v>
      </x:c>
      <x:c r="D493" t="str">
        <x:v>Componentes mecánicos</x:v>
      </x:c>
      <x:c r="E493" s="10" t="n">
        <x:v>1838.12</x:v>
      </x:c>
      <x:c r="F493" s="12" t="n">
        <x:v>46279</x:v>
      </x:c>
      <x:c r="G493" s="12" t="n">
        <x:v>46279</x:v>
      </x:c>
      <x:c r="H493" t="n">
        <x:v>209</x:v>
      </x:c>
      <x:c r="I493" t="n">
        <x:v>0</x:v>
      </x:c>
      <x:c r="J493" t="str">
        <x:v>Ninguna</x:v>
      </x:c>
      <x:c r="K493" t="str">
        <x:v>No</x:v>
      </x:c>
      <x:c r="L493" t="str">
        <x:v>Barcelona</x:v>
      </x:c>
      <x:c r="M493" t="n">
        <x:f>IF(AND(B493&gt;=DATE(2026,7,1),B493&lt;=DATE(2026,9,30),G493&gt;=DATE(2026,7,1),G493&lt;=DATE(2026,9,30)),1,0)</x:f>
        <x:v>1</x:v>
      </x:c>
      <x:c r="N493" t="n">
        <x:f>IF(M493=1,IF(G493&lt;=F493,1,0),0)</x:f>
        <x:v>1</x:v>
      </x:c>
      <x:c r="O493" t="n">
        <x:f>IF(AND(M493=1,K493="Sí",G493&gt;F493),1,0)</x:f>
        <x:v>0</x:v>
      </x:c>
      <x:c r="P493" t="n">
        <x:f>IF(AND(M493=1,I493&gt;0),1,0)</x:f>
        <x:v>0</x:v>
      </x:c>
      <x:c r="Q493" t="n">
        <x:f>IF(AND(B493&gt;=DATE(2026,7,1),B493&lt;=DATE(2026,9,30),G493&gt;=DATE(2026,10,1),G493&lt;=DATE(2026,10,7)),1,0)</x:f>
        <x:v>0</x:v>
      </x:c>
      <x:c r="R493" t="n">
        <x:f>IF(AND(B493&gt;=DATE(2026,7,1),B493&lt;=DATE(2026,9,30),G493&gt;DATE(2026,10,7)),1,0)</x:f>
        <x:v>0</x:v>
      </x:c>
      <x:c r="S493" t="n">
        <x:f>IF(AND(M493=1,J493&lt;&gt;"Ninguna"),1,0)</x:f>
        <x:v>0</x:v>
      </x:c>
    </x:row>
    <x:row r="494">
      <x:c r="A494" t="str">
        <x:v>PED-0493</x:v>
      </x:c>
      <x:c r="B494" s="12" t="n">
        <x:v>46234</x:v>
      </x:c>
      <x:c r="C494" t="str">
        <x:v>OfiPlus</x:v>
      </x:c>
      <x:c r="D494" t="str">
        <x:v>Consumibles</x:v>
      </x:c>
      <x:c r="E494" s="10" t="n">
        <x:v>7541.51</x:v>
      </x:c>
      <x:c r="F494" s="12" t="n">
        <x:v>46238</x:v>
      </x:c>
      <x:c r="G494" s="12" t="n">
        <x:v>46242</x:v>
      </x:c>
      <x:c r="H494" t="n">
        <x:v>203</x:v>
      </x:c>
      <x:c r="I494" t="n">
        <x:v>0</x:v>
      </x:c>
      <x:c r="J494" t="str">
        <x:v>Ninguna</x:v>
      </x:c>
      <x:c r="K494" t="str">
        <x:v>No</x:v>
      </x:c>
      <x:c r="L494" t="str">
        <x:v>Barcelona</x:v>
      </x:c>
      <x:c r="M494" t="n">
        <x:f>IF(AND(B494&gt;=DATE(2026,7,1),B494&lt;=DATE(2026,9,30),G494&gt;=DATE(2026,7,1),G494&lt;=DATE(2026,9,30)),1,0)</x:f>
        <x:v>1</x:v>
      </x:c>
      <x:c r="N494" t="n">
        <x:f>IF(M494=1,IF(G494&lt;=F494,1,0),0)</x:f>
        <x:v>0</x:v>
      </x:c>
      <x:c r="O494" t="n">
        <x:f>IF(AND(M494=1,K494="Sí",G494&gt;F494),1,0)</x:f>
        <x:v>0</x:v>
      </x:c>
      <x:c r="P494" t="n">
        <x:f>IF(AND(M494=1,I494&gt;0),1,0)</x:f>
        <x:v>0</x:v>
      </x:c>
      <x:c r="Q494" t="n">
        <x:f>IF(AND(B494&gt;=DATE(2026,7,1),B494&lt;=DATE(2026,9,30),G494&gt;=DATE(2026,10,1),G494&lt;=DATE(2026,10,7)),1,0)</x:f>
        <x:v>0</x:v>
      </x:c>
      <x:c r="R494" t="n">
        <x:f>IF(AND(B494&gt;=DATE(2026,7,1),B494&lt;=DATE(2026,9,30),G494&gt;DATE(2026,10,7)),1,0)</x:f>
        <x:v>0</x:v>
      </x:c>
      <x:c r="S494" t="n">
        <x:f>IF(AND(M494=1,J494&lt;&gt;"Ninguna"),1,0)</x:f>
        <x:v>0</x:v>
      </x:c>
    </x:row>
    <x:row r="495">
      <x:c r="A495" t="str">
        <x:v>PED-0494</x:v>
      </x:c>
      <x:c r="B495" s="12" t="n">
        <x:v>46275</x:v>
      </x:c>
      <x:c r="C495" t="str">
        <x:v>MecaParts</x:v>
      </x:c>
      <x:c r="D495" t="str">
        <x:v>Componentes mecánicos</x:v>
      </x:c>
      <x:c r="E495" s="10" t="n">
        <x:v>1700.73</x:v>
      </x:c>
      <x:c r="F495" s="12" t="n">
        <x:v>46283</x:v>
      </x:c>
      <x:c r="G495" s="12" t="n">
        <x:v>46286</x:v>
      </x:c>
      <x:c r="H495" t="n">
        <x:v>51</x:v>
      </x:c>
      <x:c r="I495" t="n">
        <x:v>0</x:v>
      </x:c>
      <x:c r="J495" t="str">
        <x:v>Ninguna</x:v>
      </x:c>
      <x:c r="K495" t="str">
        <x:v>No</x:v>
      </x:c>
      <x:c r="L495" t="str">
        <x:v>Zaragoza</x:v>
      </x:c>
      <x:c r="M495" t="n">
        <x:f>IF(AND(B495&gt;=DATE(2026,7,1),B495&lt;=DATE(2026,9,30),G495&gt;=DATE(2026,7,1),G495&lt;=DATE(2026,9,30)),1,0)</x:f>
        <x:v>1</x:v>
      </x:c>
      <x:c r="N495" t="n">
        <x:f>IF(M495=1,IF(G495&lt;=F495,1,0),0)</x:f>
        <x:v>0</x:v>
      </x:c>
      <x:c r="O495" t="n">
        <x:f>IF(AND(M495=1,K495="Sí",G495&gt;F495),1,0)</x:f>
        <x:v>0</x:v>
      </x:c>
      <x:c r="P495" t="n">
        <x:f>IF(AND(M495=1,I495&gt;0),1,0)</x:f>
        <x:v>0</x:v>
      </x:c>
      <x:c r="Q495" t="n">
        <x:f>IF(AND(B495&gt;=DATE(2026,7,1),B495&lt;=DATE(2026,9,30),G495&gt;=DATE(2026,10,1),G495&lt;=DATE(2026,10,7)),1,0)</x:f>
        <x:v>0</x:v>
      </x:c>
      <x:c r="R495" t="n">
        <x:f>IF(AND(B495&gt;=DATE(2026,7,1),B495&lt;=DATE(2026,9,30),G495&gt;DATE(2026,10,7)),1,0)</x:f>
        <x:v>0</x:v>
      </x:c>
      <x:c r="S495" t="n">
        <x:f>IF(AND(M495=1,J495&lt;&gt;"Ninguna"),1,0)</x:f>
        <x:v>0</x:v>
      </x:c>
    </x:row>
    <x:row r="496">
      <x:c r="A496" t="str">
        <x:v>PED-0495</x:v>
      </x:c>
      <x:c r="B496" s="12" t="n">
        <x:v>46227</x:v>
      </x:c>
      <x:c r="C496" t="str">
        <x:v>PackPro</x:v>
      </x:c>
      <x:c r="D496" t="str">
        <x:v>Embalaje</x:v>
      </x:c>
      <x:c r="E496" s="10" t="n">
        <x:v>3825.49</x:v>
      </x:c>
      <x:c r="F496" s="12" t="n">
        <x:v>46234</x:v>
      </x:c>
      <x:c r="G496" s="12" t="n">
        <x:v>46232</x:v>
      </x:c>
      <x:c r="H496" t="n">
        <x:v>263</x:v>
      </x:c>
      <x:c r="I496" t="n">
        <x:v>0</x:v>
      </x:c>
      <x:c r="J496" t="str">
        <x:v>Ninguna</x:v>
      </x:c>
      <x:c r="K496" t="str">
        <x:v>No</x:v>
      </x:c>
      <x:c r="L496" t="str">
        <x:v>Valencia</x:v>
      </x:c>
      <x:c r="M496" t="n">
        <x:f>IF(AND(B496&gt;=DATE(2026,7,1),B496&lt;=DATE(2026,9,30),G496&gt;=DATE(2026,7,1),G496&lt;=DATE(2026,9,30)),1,0)</x:f>
        <x:v>1</x:v>
      </x:c>
      <x:c r="N496" t="n">
        <x:f>IF(M496=1,IF(G496&lt;=F496,1,0),0)</x:f>
        <x:v>1</x:v>
      </x:c>
      <x:c r="O496" t="n">
        <x:f>IF(AND(M496=1,K496="Sí",G496&gt;F496),1,0)</x:f>
        <x:v>0</x:v>
      </x:c>
      <x:c r="P496" t="n">
        <x:f>IF(AND(M496=1,I496&gt;0),1,0)</x:f>
        <x:v>0</x:v>
      </x:c>
      <x:c r="Q496" t="n">
        <x:f>IF(AND(B496&gt;=DATE(2026,7,1),B496&lt;=DATE(2026,9,30),G496&gt;=DATE(2026,10,1),G496&lt;=DATE(2026,10,7)),1,0)</x:f>
        <x:v>0</x:v>
      </x:c>
      <x:c r="R496" t="n">
        <x:f>IF(AND(B496&gt;=DATE(2026,7,1),B496&lt;=DATE(2026,9,30),G496&gt;DATE(2026,10,7)),1,0)</x:f>
        <x:v>0</x:v>
      </x:c>
      <x:c r="S496" t="n">
        <x:f>IF(AND(M496=1,J496&lt;&gt;"Ninguna"),1,0)</x:f>
        <x:v>0</x:v>
      </x:c>
    </x:row>
    <x:row r="497">
      <x:c r="A497" t="str">
        <x:v>PED-0496</x:v>
      </x:c>
      <x:c r="B497" s="12" t="n">
        <x:v>46286</x:v>
      </x:c>
      <x:c r="C497" t="str">
        <x:v>PackPro</x:v>
      </x:c>
      <x:c r="D497" t="str">
        <x:v>Embalaje</x:v>
      </x:c>
      <x:c r="E497" s="10" t="n">
        <x:v>5337.27</x:v>
      </x:c>
      <x:c r="F497" s="12" t="n">
        <x:v>46293</x:v>
      </x:c>
      <x:c r="G497" s="12" t="n">
        <x:v>46294</x:v>
      </x:c>
      <x:c r="H497" t="n">
        <x:v>314</x:v>
      </x:c>
      <x:c r="I497" t="n">
        <x:v>0</x:v>
      </x:c>
      <x:c r="J497" t="str">
        <x:v>Ninguna</x:v>
      </x:c>
      <x:c r="K497" t="str">
        <x:v>No</x:v>
      </x:c>
      <x:c r="L497" t="str">
        <x:v>Zaragoza</x:v>
      </x:c>
      <x:c r="M497" t="n">
        <x:f>IF(AND(B497&gt;=DATE(2026,7,1),B497&lt;=DATE(2026,9,30),G497&gt;=DATE(2026,7,1),G497&lt;=DATE(2026,9,30)),1,0)</x:f>
        <x:v>1</x:v>
      </x:c>
      <x:c r="N497" t="n">
        <x:f>IF(M497=1,IF(G497&lt;=F497,1,0),0)</x:f>
        <x:v>0</x:v>
      </x:c>
      <x:c r="O497" t="n">
        <x:f>IF(AND(M497=1,K497="Sí",G497&gt;F497),1,0)</x:f>
        <x:v>0</x:v>
      </x:c>
      <x:c r="P497" t="n">
        <x:f>IF(AND(M497=1,I497&gt;0),1,0)</x:f>
        <x:v>0</x:v>
      </x:c>
      <x:c r="Q497" t="n">
        <x:f>IF(AND(B497&gt;=DATE(2026,7,1),B497&lt;=DATE(2026,9,30),G497&gt;=DATE(2026,10,1),G497&lt;=DATE(2026,10,7)),1,0)</x:f>
        <x:v>0</x:v>
      </x:c>
      <x:c r="R497" t="n">
        <x:f>IF(AND(B497&gt;=DATE(2026,7,1),B497&lt;=DATE(2026,9,30),G497&gt;DATE(2026,10,7)),1,0)</x:f>
        <x:v>0</x:v>
      </x:c>
      <x:c r="S497" t="n">
        <x:f>IF(AND(M497=1,J497&lt;&gt;"Ninguna"),1,0)</x:f>
        <x:v>0</x:v>
      </x:c>
    </x:row>
    <x:row r="498">
      <x:c r="A498" t="str">
        <x:v>PED-0497</x:v>
      </x:c>
      <x:c r="B498" s="12" t="n">
        <x:v>46284</x:v>
      </x:c>
      <x:c r="C498" t="str">
        <x:v>MetalNova</x:v>
      </x:c>
      <x:c r="D498" t="str">
        <x:v>Componentes mecánicos</x:v>
      </x:c>
      <x:c r="E498" s="10" t="n">
        <x:v>2694.17</x:v>
      </x:c>
      <x:c r="F498" s="12" t="n">
        <x:v>46295</x:v>
      </x:c>
      <x:c r="G498" s="12" t="n">
        <x:v>46297</x:v>
      </x:c>
      <x:c r="H498" t="n">
        <x:v>137</x:v>
      </x:c>
      <x:c r="I498" t="n">
        <x:v>20</x:v>
      </x:c>
      <x:c r="J498" t="str">
        <x:v>Calidad</x:v>
      </x:c>
      <x:c r="K498" t="str">
        <x:v>No</x:v>
      </x:c>
      <x:c r="L498" t="str">
        <x:v>Zaragoza</x:v>
      </x:c>
      <x:c r="M498" t="n">
        <x:f>IF(AND(B498&gt;=DATE(2026,7,1),B498&lt;=DATE(2026,9,30),G498&gt;=DATE(2026,7,1),G498&lt;=DATE(2026,9,30)),1,0)</x:f>
        <x:v>0</x:v>
      </x:c>
      <x:c r="N498" t="n">
        <x:f>IF(M498=1,IF(G498&lt;=F498,1,0),0)</x:f>
        <x:v>0</x:v>
      </x:c>
      <x:c r="O498" t="n">
        <x:f>IF(AND(M498=1,K498="Sí",G498&gt;F498),1,0)</x:f>
        <x:v>0</x:v>
      </x:c>
      <x:c r="P498" t="n">
        <x:f>IF(AND(M498=1,I498&gt;0),1,0)</x:f>
        <x:v>0</x:v>
      </x:c>
      <x:c r="Q498" t="n">
        <x:f>IF(AND(B498&gt;=DATE(2026,7,1),B498&lt;=DATE(2026,9,30),G498&gt;=DATE(2026,10,1),G498&lt;=DATE(2026,10,7)),1,0)</x:f>
        <x:v>1</x:v>
      </x:c>
      <x:c r="R498" t="n">
        <x:f>IF(AND(B498&gt;=DATE(2026,7,1),B498&lt;=DATE(2026,9,30),G498&gt;DATE(2026,10,7)),1,0)</x:f>
        <x:v>0</x:v>
      </x:c>
      <x:c r="S498" t="n">
        <x:f>IF(AND(M498=1,J498&lt;&gt;"Ninguna"),1,0)</x:f>
        <x:v>0</x:v>
      </x:c>
    </x:row>
    <x:row r="499">
      <x:c r="A499" t="str">
        <x:v>PED-0498</x:v>
      </x:c>
      <x:c r="B499" s="12" t="n">
        <x:v>46242</x:v>
      </x:c>
      <x:c r="C499" t="str">
        <x:v>PackPro</x:v>
      </x:c>
      <x:c r="D499" t="str">
        <x:v>Embalaje</x:v>
      </x:c>
      <x:c r="E499" s="10" t="n">
        <x:v>3856.62</x:v>
      </x:c>
      <x:c r="F499" s="12" t="n">
        <x:v>46248</x:v>
      </x:c>
      <x:c r="G499" s="12" t="n">
        <x:v>46251</x:v>
      </x:c>
      <x:c r="H499" t="n">
        <x:v>77</x:v>
      </x:c>
      <x:c r="I499" t="n">
        <x:v>0</x:v>
      </x:c>
      <x:c r="J499" t="str">
        <x:v>Ninguna</x:v>
      </x:c>
      <x:c r="K499" t="str">
        <x:v>No</x:v>
      </x:c>
      <x:c r="L499" t="str">
        <x:v>Barcelona</x:v>
      </x:c>
      <x:c r="M499" t="n">
        <x:f>IF(AND(B499&gt;=DATE(2026,7,1),B499&lt;=DATE(2026,9,30),G499&gt;=DATE(2026,7,1),G499&lt;=DATE(2026,9,30)),1,0)</x:f>
        <x:v>1</x:v>
      </x:c>
      <x:c r="N499" t="n">
        <x:f>IF(M499=1,IF(G499&lt;=F499,1,0),0)</x:f>
        <x:v>0</x:v>
      </x:c>
      <x:c r="O499" t="n">
        <x:f>IF(AND(M499=1,K499="Sí",G499&gt;F499),1,0)</x:f>
        <x:v>0</x:v>
      </x:c>
      <x:c r="P499" t="n">
        <x:f>IF(AND(M499=1,I499&gt;0),1,0)</x:f>
        <x:v>0</x:v>
      </x:c>
      <x:c r="Q499" t="n">
        <x:f>IF(AND(B499&gt;=DATE(2026,7,1),B499&lt;=DATE(2026,9,30),G499&gt;=DATE(2026,10,1),G499&lt;=DATE(2026,10,7)),1,0)</x:f>
        <x:v>0</x:v>
      </x:c>
      <x:c r="R499" t="n">
        <x:f>IF(AND(B499&gt;=DATE(2026,7,1),B499&lt;=DATE(2026,9,30),G499&gt;DATE(2026,10,7)),1,0)</x:f>
        <x:v>0</x:v>
      </x:c>
      <x:c r="S499" t="n">
        <x:f>IF(AND(M499=1,J499&lt;&gt;"Ninguna"),1,0)</x:f>
        <x:v>0</x:v>
      </x:c>
    </x:row>
    <x:row r="500">
      <x:c r="A500" t="str">
        <x:v>PED-0499</x:v>
      </x:c>
      <x:c r="B500" s="12" t="n">
        <x:v>46222</x:v>
      </x:c>
      <x:c r="C500" t="str">
        <x:v>ElectraSupply</x:v>
      </x:c>
      <x:c r="D500" t="str">
        <x:v>Componentes eléctricos</x:v>
      </x:c>
      <x:c r="E500" s="10" t="n">
        <x:v>621.88</x:v>
      </x:c>
      <x:c r="F500" s="12" t="n">
        <x:v>46234</x:v>
      </x:c>
      <x:c r="G500" s="12" t="n">
        <x:v>46239</x:v>
      </x:c>
      <x:c r="H500" t="n">
        <x:v>29</x:v>
      </x:c>
      <x:c r="I500" t="n">
        <x:v>0</x:v>
      </x:c>
      <x:c r="J500" t="str">
        <x:v>Cantidad incorrecta</x:v>
      </x:c>
      <x:c r="K500" t="str">
        <x:v>No</x:v>
      </x:c>
      <x:c r="L500" t="str">
        <x:v>Zaragoza</x:v>
      </x:c>
      <x:c r="M500" t="n">
        <x:f>IF(AND(B500&gt;=DATE(2026,7,1),B500&lt;=DATE(2026,9,30),G500&gt;=DATE(2026,7,1),G500&lt;=DATE(2026,9,30)),1,0)</x:f>
        <x:v>1</x:v>
      </x:c>
      <x:c r="N500" t="n">
        <x:f>IF(M500=1,IF(G500&lt;=F500,1,0),0)</x:f>
        <x:v>0</x:v>
      </x:c>
      <x:c r="O500" t="n">
        <x:f>IF(AND(M500=1,K500="Sí",G500&gt;F500),1,0)</x:f>
        <x:v>0</x:v>
      </x:c>
      <x:c r="P500" t="n">
        <x:f>IF(AND(M500=1,I500&gt;0),1,0)</x:f>
        <x:v>0</x:v>
      </x:c>
      <x:c r="Q500" t="n">
        <x:f>IF(AND(B500&gt;=DATE(2026,7,1),B500&lt;=DATE(2026,9,30),G500&gt;=DATE(2026,10,1),G500&lt;=DATE(2026,10,7)),1,0)</x:f>
        <x:v>0</x:v>
      </x:c>
      <x:c r="R500" t="n">
        <x:f>IF(AND(B500&gt;=DATE(2026,7,1),B500&lt;=DATE(2026,9,30),G500&gt;DATE(2026,10,7)),1,0)</x:f>
        <x:v>0</x:v>
      </x:c>
      <x:c r="S500" t="n">
        <x:f>IF(AND(M500=1,J500&lt;&gt;"Ninguna"),1,0)</x:f>
        <x:v>1</x:v>
      </x:c>
    </x:row>
    <x:row r="501">
      <x:c r="A501" t="str">
        <x:v>PED-0500</x:v>
      </x:c>
      <x:c r="B501" s="12" t="n">
        <x:v>46255</x:v>
      </x:c>
      <x:c r="C501" t="str">
        <x:v>MetalNova</x:v>
      </x:c>
      <x:c r="D501" t="str">
        <x:v>Materia prima</x:v>
      </x:c>
      <x:c r="E501" s="10" t="n">
        <x:v>3600.48</x:v>
      </x:c>
      <x:c r="F501" s="12" t="n">
        <x:v>46264</x:v>
      </x:c>
      <x:c r="G501" s="12" t="n">
        <x:v>46265</x:v>
      </x:c>
      <x:c r="H501" t="n">
        <x:v>253</x:v>
      </x:c>
      <x:c r="I501" t="n">
        <x:v>13</x:v>
      </x:c>
      <x:c r="J501" t="str">
        <x:v>Calidad</x:v>
      </x:c>
      <x:c r="K501" t="str">
        <x:v>Sí</x:v>
      </x:c>
      <x:c r="L501" t="str">
        <x:v>Valencia</x:v>
      </x:c>
      <x:c r="M501" t="n">
        <x:f>IF(AND(B501&gt;=DATE(2026,7,1),B501&lt;=DATE(2026,9,30),G501&gt;=DATE(2026,7,1),G501&lt;=DATE(2026,9,30)),1,0)</x:f>
        <x:v>1</x:v>
      </x:c>
      <x:c r="N501" t="n">
        <x:f>IF(M501=1,IF(G501&lt;=F501,1,0),0)</x:f>
        <x:v>0</x:v>
      </x:c>
      <x:c r="O501" t="n">
        <x:f>IF(AND(M501=1,K501="Sí",G501&gt;F501),1,0)</x:f>
        <x:v>1</x:v>
      </x:c>
      <x:c r="P501" t="n">
        <x:f>IF(AND(M501=1,I501&gt;0),1,0)</x:f>
        <x:v>1</x:v>
      </x:c>
      <x:c r="Q501" t="n">
        <x:f>IF(AND(B501&gt;=DATE(2026,7,1),B501&lt;=DATE(2026,9,30),G501&gt;=DATE(2026,10,1),G501&lt;=DATE(2026,10,7)),1,0)</x:f>
        <x:v>0</x:v>
      </x:c>
      <x:c r="R501" t="n">
        <x:f>IF(AND(B501&gt;=DATE(2026,7,1),B501&lt;=DATE(2026,9,30),G501&gt;DATE(2026,10,7)),1,0)</x:f>
        <x:v>0</x:v>
      </x:c>
      <x:c r="S501" t="n">
        <x:f>IF(AND(M501=1,J501&lt;&gt;"Ninguna"),1,0)</x:f>
        <x:v>1</x:v>
      </x:c>
    </x:row>
    <x:row r="502">
      <x:c r="A502" t="str">
        <x:v>PED-0501</x:v>
      </x:c>
      <x:c r="B502" s="12" t="n">
        <x:v>46268</x:v>
      </x:c>
      <x:c r="C502" t="str">
        <x:v>PackPro</x:v>
      </x:c>
      <x:c r="D502" t="str">
        <x:v>Embalaje</x:v>
      </x:c>
      <x:c r="E502" s="10" t="n">
        <x:v>9571.1</x:v>
      </x:c>
      <x:c r="F502" s="12" t="n">
        <x:v>46274</x:v>
      </x:c>
      <x:c r="G502" s="12" t="n">
        <x:v>46272</x:v>
      </x:c>
      <x:c r="H502" t="n">
        <x:v>214</x:v>
      </x:c>
      <x:c r="I502" t="n">
        <x:v>0</x:v>
      </x:c>
      <x:c r="J502" t="str">
        <x:v>Cantidad incorrecta</x:v>
      </x:c>
      <x:c r="K502" t="str">
        <x:v>No</x:v>
      </x:c>
      <x:c r="L502" t="str">
        <x:v>Zaragoza</x:v>
      </x:c>
      <x:c r="M502" t="n">
        <x:f>IF(AND(B502&gt;=DATE(2026,7,1),B502&lt;=DATE(2026,9,30),G502&gt;=DATE(2026,7,1),G502&lt;=DATE(2026,9,30)),1,0)</x:f>
        <x:v>1</x:v>
      </x:c>
      <x:c r="N502" t="n">
        <x:f>IF(M502=1,IF(G502&lt;=F502,1,0),0)</x:f>
        <x:v>1</x:v>
      </x:c>
      <x:c r="O502" t="n">
        <x:f>IF(AND(M502=1,K502="Sí",G502&gt;F502),1,0)</x:f>
        <x:v>0</x:v>
      </x:c>
      <x:c r="P502" t="n">
        <x:f>IF(AND(M502=1,I502&gt;0),1,0)</x:f>
        <x:v>0</x:v>
      </x:c>
      <x:c r="Q502" t="n">
        <x:f>IF(AND(B502&gt;=DATE(2026,7,1),B502&lt;=DATE(2026,9,30),G502&gt;=DATE(2026,10,1),G502&lt;=DATE(2026,10,7)),1,0)</x:f>
        <x:v>0</x:v>
      </x:c>
      <x:c r="R502" t="n">
        <x:f>IF(AND(B502&gt;=DATE(2026,7,1),B502&lt;=DATE(2026,9,30),G502&gt;DATE(2026,10,7)),1,0)</x:f>
        <x:v>0</x:v>
      </x:c>
      <x:c r="S502" t="n">
        <x:f>IF(AND(M502=1,J502&lt;&gt;"Ninguna"),1,0)</x:f>
        <x:v>1</x:v>
      </x:c>
    </x:row>
    <x:row r="503">
      <x:c r="A503" t="str">
        <x:v>PED-0502</x:v>
      </x:c>
      <x:c r="B503" s="12" t="n">
        <x:v>46265</x:v>
      </x:c>
      <x:c r="C503" t="str">
        <x:v>MetalNova</x:v>
      </x:c>
      <x:c r="D503" t="str">
        <x:v>Materia prima</x:v>
      </x:c>
      <x:c r="E503" s="10" t="n">
        <x:v>5696.1</x:v>
      </x:c>
      <x:c r="F503" s="12" t="n">
        <x:v>46276</x:v>
      </x:c>
      <x:c r="G503" s="12" t="n">
        <x:v>46278</x:v>
      </x:c>
      <x:c r="H503" t="n">
        <x:v>394</x:v>
      </x:c>
      <x:c r="I503" t="n">
        <x:v>0</x:v>
      </x:c>
      <x:c r="J503" t="str">
        <x:v>Ninguna</x:v>
      </x:c>
      <x:c r="K503" t="str">
        <x:v>No</x:v>
      </x:c>
      <x:c r="L503" t="str">
        <x:v>Valencia</x:v>
      </x:c>
      <x:c r="M503" t="n">
        <x:f>IF(AND(B503&gt;=DATE(2026,7,1),B503&lt;=DATE(2026,9,30),G503&gt;=DATE(2026,7,1),G503&lt;=DATE(2026,9,30)),1,0)</x:f>
        <x:v>1</x:v>
      </x:c>
      <x:c r="N503" t="n">
        <x:f>IF(M503=1,IF(G503&lt;=F503,1,0),0)</x:f>
        <x:v>0</x:v>
      </x:c>
      <x:c r="O503" t="n">
        <x:f>IF(AND(M503=1,K503="Sí",G503&gt;F503),1,0)</x:f>
        <x:v>0</x:v>
      </x:c>
      <x:c r="P503" t="n">
        <x:f>IF(AND(M503=1,I503&gt;0),1,0)</x:f>
        <x:v>0</x:v>
      </x:c>
      <x:c r="Q503" t="n">
        <x:f>IF(AND(B503&gt;=DATE(2026,7,1),B503&lt;=DATE(2026,9,30),G503&gt;=DATE(2026,10,1),G503&lt;=DATE(2026,10,7)),1,0)</x:f>
        <x:v>0</x:v>
      </x:c>
      <x:c r="R503" t="n">
        <x:f>IF(AND(B503&gt;=DATE(2026,7,1),B503&lt;=DATE(2026,9,30),G503&gt;DATE(2026,10,7)),1,0)</x:f>
        <x:v>0</x:v>
      </x:c>
      <x:c r="S503" t="n">
        <x:f>IF(AND(M503=1,J503&lt;&gt;"Ninguna"),1,0)</x:f>
        <x:v>0</x:v>
      </x:c>
    </x:row>
    <x:row r="504">
      <x:c r="A504" t="str">
        <x:v>PED-0503</x:v>
      </x:c>
      <x:c r="B504" s="12" t="n">
        <x:v>46253</x:v>
      </x:c>
      <x:c r="C504" t="str">
        <x:v>ElectraSupply</x:v>
      </x:c>
      <x:c r="D504" t="str">
        <x:v>Componentes eléctricos</x:v>
      </x:c>
      <x:c r="E504" s="10" t="n">
        <x:v>5346.5</x:v>
      </x:c>
      <x:c r="F504" s="12" t="n">
        <x:v>46267</x:v>
      </x:c>
      <x:c r="G504" s="12" t="n">
        <x:v>46270</x:v>
      </x:c>
      <x:c r="H504" t="n">
        <x:v>152</x:v>
      </x:c>
      <x:c r="I504" t="n">
        <x:v>0</x:v>
      </x:c>
      <x:c r="J504" t="str">
        <x:v>Ninguna</x:v>
      </x:c>
      <x:c r="K504" t="str">
        <x:v>No</x:v>
      </x:c>
      <x:c r="L504" t="str">
        <x:v>Barcelona</x:v>
      </x:c>
      <x:c r="M504" t="n">
        <x:f>IF(AND(B504&gt;=DATE(2026,7,1),B504&lt;=DATE(2026,9,30),G504&gt;=DATE(2026,7,1),G504&lt;=DATE(2026,9,30)),1,0)</x:f>
        <x:v>1</x:v>
      </x:c>
      <x:c r="N504" t="n">
        <x:f>IF(M504=1,IF(G504&lt;=F504,1,0),0)</x:f>
        <x:v>0</x:v>
      </x:c>
      <x:c r="O504" t="n">
        <x:f>IF(AND(M504=1,K504="Sí",G504&gt;F504),1,0)</x:f>
        <x:v>0</x:v>
      </x:c>
      <x:c r="P504" t="n">
        <x:f>IF(AND(M504=1,I504&gt;0),1,0)</x:f>
        <x:v>0</x:v>
      </x:c>
      <x:c r="Q504" t="n">
        <x:f>IF(AND(B504&gt;=DATE(2026,7,1),B504&lt;=DATE(2026,9,30),G504&gt;=DATE(2026,10,1),G504&lt;=DATE(2026,10,7)),1,0)</x:f>
        <x:v>0</x:v>
      </x:c>
      <x:c r="R504" t="n">
        <x:f>IF(AND(B504&gt;=DATE(2026,7,1),B504&lt;=DATE(2026,9,30),G504&gt;DATE(2026,10,7)),1,0)</x:f>
        <x:v>0</x:v>
      </x:c>
      <x:c r="S504" t="n">
        <x:f>IF(AND(M504=1,J504&lt;&gt;"Ninguna"),1,0)</x:f>
        <x:v>0</x:v>
      </x:c>
    </x:row>
    <x:row r="505">
      <x:c r="A505" t="str">
        <x:v>PED-0504</x:v>
      </x:c>
      <x:c r="B505" s="12" t="n">
        <x:v>46290</x:v>
      </x:c>
      <x:c r="C505" t="str">
        <x:v>PackPro</x:v>
      </x:c>
      <x:c r="D505" t="str">
        <x:v>Embalaje</x:v>
      </x:c>
      <x:c r="E505" s="10" t="n">
        <x:v>693.43</x:v>
      </x:c>
      <x:c r="F505" s="12" t="n">
        <x:v>46296</x:v>
      </x:c>
      <x:c r="G505" s="12" t="n">
        <x:v>46297</x:v>
      </x:c>
      <x:c r="H505" t="n">
        <x:v>60</x:v>
      </x:c>
      <x:c r="I505" t="n">
        <x:v>0</x:v>
      </x:c>
      <x:c r="J505" t="str">
        <x:v>Ninguna</x:v>
      </x:c>
      <x:c r="K505" t="str">
        <x:v>No</x:v>
      </x:c>
      <x:c r="L505" t="str">
        <x:v>Barcelona</x:v>
      </x:c>
      <x:c r="M505" t="n">
        <x:f>IF(AND(B505&gt;=DATE(2026,7,1),B505&lt;=DATE(2026,9,30),G505&gt;=DATE(2026,7,1),G505&lt;=DATE(2026,9,30)),1,0)</x:f>
        <x:v>0</x:v>
      </x:c>
      <x:c r="N505" t="n">
        <x:f>IF(M505=1,IF(G505&lt;=F505,1,0),0)</x:f>
        <x:v>0</x:v>
      </x:c>
      <x:c r="O505" t="n">
        <x:f>IF(AND(M505=1,K505="Sí",G505&gt;F505),1,0)</x:f>
        <x:v>0</x:v>
      </x:c>
      <x:c r="P505" t="n">
        <x:f>IF(AND(M505=1,I505&gt;0),1,0)</x:f>
        <x:v>0</x:v>
      </x:c>
      <x:c r="Q505" t="n">
        <x:f>IF(AND(B505&gt;=DATE(2026,7,1),B505&lt;=DATE(2026,9,30),G505&gt;=DATE(2026,10,1),G505&lt;=DATE(2026,10,7)),1,0)</x:f>
        <x:v>1</x:v>
      </x:c>
      <x:c r="R505" t="n">
        <x:f>IF(AND(B505&gt;=DATE(2026,7,1),B505&lt;=DATE(2026,9,30),G505&gt;DATE(2026,10,7)),1,0)</x:f>
        <x:v>0</x:v>
      </x:c>
      <x:c r="S505" t="n">
        <x:f>IF(AND(M505=1,J505&lt;&gt;"Ninguna"),1,0)</x:f>
        <x:v>0</x:v>
      </x:c>
    </x:row>
    <x:row r="506">
      <x:c r="A506" t="str">
        <x:v>PED-0505</x:v>
      </x:c>
      <x:c r="B506" s="12" t="n">
        <x:v>46213</x:v>
      </x:c>
      <x:c r="C506" t="str">
        <x:v>ElectraSupply</x:v>
      </x:c>
      <x:c r="D506" t="str">
        <x:v>Componentes eléctricos</x:v>
      </x:c>
      <x:c r="E506" s="10" t="n">
        <x:v>19296.54</x:v>
      </x:c>
      <x:c r="F506" s="12" t="n">
        <x:v>46224</x:v>
      </x:c>
      <x:c r="G506" s="12" t="n">
        <x:v>46230</x:v>
      </x:c>
      <x:c r="H506" t="n">
        <x:v>385</x:v>
      </x:c>
      <x:c r="I506" t="n">
        <x:v>0</x:v>
      </x:c>
      <x:c r="J506" t="str">
        <x:v>Ninguna</x:v>
      </x:c>
      <x:c r="K506" t="str">
        <x:v>No</x:v>
      </x:c>
      <x:c r="L506" t="str">
        <x:v>Barcelona</x:v>
      </x:c>
      <x:c r="M506" t="n">
        <x:f>IF(AND(B506&gt;=DATE(2026,7,1),B506&lt;=DATE(2026,9,30),G506&gt;=DATE(2026,7,1),G506&lt;=DATE(2026,9,30)),1,0)</x:f>
        <x:v>1</x:v>
      </x:c>
      <x:c r="N506" t="n">
        <x:f>IF(M506=1,IF(G506&lt;=F506,1,0),0)</x:f>
        <x:v>0</x:v>
      </x:c>
      <x:c r="O506" t="n">
        <x:f>IF(AND(M506=1,K506="Sí",G506&gt;F506),1,0)</x:f>
        <x:v>0</x:v>
      </x:c>
      <x:c r="P506" t="n">
        <x:f>IF(AND(M506=1,I506&gt;0),1,0)</x:f>
        <x:v>0</x:v>
      </x:c>
      <x:c r="Q506" t="n">
        <x:f>IF(AND(B506&gt;=DATE(2026,7,1),B506&lt;=DATE(2026,9,30),G506&gt;=DATE(2026,10,1),G506&lt;=DATE(2026,10,7)),1,0)</x:f>
        <x:v>0</x:v>
      </x:c>
      <x:c r="R506" t="n">
        <x:f>IF(AND(B506&gt;=DATE(2026,7,1),B506&lt;=DATE(2026,9,30),G506&gt;DATE(2026,10,7)),1,0)</x:f>
        <x:v>0</x:v>
      </x:c>
      <x:c r="S506" t="n">
        <x:f>IF(AND(M506=1,J506&lt;&gt;"Ninguna"),1,0)</x:f>
        <x:v>0</x:v>
      </x:c>
    </x:row>
    <x:row r="507">
      <x:c r="A507" t="str">
        <x:v>PED-0506</x:v>
      </x:c>
      <x:c r="B507" s="12" t="n">
        <x:v>46262</x:v>
      </x:c>
      <x:c r="C507" t="str">
        <x:v>PackPro</x:v>
      </x:c>
      <x:c r="D507" t="str">
        <x:v>Embalaje</x:v>
      </x:c>
      <x:c r="E507" s="10" t="n">
        <x:v>1853.03</x:v>
      </x:c>
      <x:c r="F507" s="12" t="n">
        <x:v>46269</x:v>
      </x:c>
      <x:c r="G507" s="12" t="n">
        <x:v>46273</x:v>
      </x:c>
      <x:c r="H507" t="n">
        <x:v>157</x:v>
      </x:c>
      <x:c r="I507" t="n">
        <x:v>0</x:v>
      </x:c>
      <x:c r="J507" t="str">
        <x:v>Ninguna</x:v>
      </x:c>
      <x:c r="K507" t="str">
        <x:v>No</x:v>
      </x:c>
      <x:c r="L507" t="str">
        <x:v>Valencia</x:v>
      </x:c>
      <x:c r="M507" t="n">
        <x:f>IF(AND(B507&gt;=DATE(2026,7,1),B507&lt;=DATE(2026,9,30),G507&gt;=DATE(2026,7,1),G507&lt;=DATE(2026,9,30)),1,0)</x:f>
        <x:v>1</x:v>
      </x:c>
      <x:c r="N507" t="n">
        <x:f>IF(M507=1,IF(G507&lt;=F507,1,0),0)</x:f>
        <x:v>0</x:v>
      </x:c>
      <x:c r="O507" t="n">
        <x:f>IF(AND(M507=1,K507="Sí",G507&gt;F507),1,0)</x:f>
        <x:v>0</x:v>
      </x:c>
      <x:c r="P507" t="n">
        <x:f>IF(AND(M507=1,I507&gt;0),1,0)</x:f>
        <x:v>0</x:v>
      </x:c>
      <x:c r="Q507" t="n">
        <x:f>IF(AND(B507&gt;=DATE(2026,7,1),B507&lt;=DATE(2026,9,30),G507&gt;=DATE(2026,10,1),G507&lt;=DATE(2026,10,7)),1,0)</x:f>
        <x:v>0</x:v>
      </x:c>
      <x:c r="R507" t="n">
        <x:f>IF(AND(B507&gt;=DATE(2026,7,1),B507&lt;=DATE(2026,9,30),G507&gt;DATE(2026,10,7)),1,0)</x:f>
        <x:v>0</x:v>
      </x:c>
      <x:c r="S507" t="n">
        <x:f>IF(AND(M507=1,J507&lt;&gt;"Ninguna"),1,0)</x:f>
        <x:v>0</x:v>
      </x:c>
    </x:row>
    <x:row r="508">
      <x:c r="A508" t="str">
        <x:v>PED-0507</x:v>
      </x:c>
      <x:c r="B508" s="12" t="n">
        <x:v>46247</x:v>
      </x:c>
      <x:c r="C508" t="str">
        <x:v>PackPro</x:v>
      </x:c>
      <x:c r="D508" t="str">
        <x:v>Embalaje</x:v>
      </x:c>
      <x:c r="E508" s="10" t="n">
        <x:v>11552.23</x:v>
      </x:c>
      <x:c r="F508" s="12" t="n">
        <x:v>46254</x:v>
      </x:c>
      <x:c r="G508" s="12" t="n">
        <x:v>46252</x:v>
      </x:c>
      <x:c r="H508" t="n">
        <x:v>282</x:v>
      </x:c>
      <x:c r="I508" t="n">
        <x:v>0</x:v>
      </x:c>
      <x:c r="J508" t="str">
        <x:v>Ninguna</x:v>
      </x:c>
      <x:c r="K508" t="str">
        <x:v>No</x:v>
      </x:c>
      <x:c r="L508" t="str">
        <x:v>Barcelona</x:v>
      </x:c>
      <x:c r="M508" t="n">
        <x:f>IF(AND(B508&gt;=DATE(2026,7,1),B508&lt;=DATE(2026,9,30),G508&gt;=DATE(2026,7,1),G508&lt;=DATE(2026,9,30)),1,0)</x:f>
        <x:v>1</x:v>
      </x:c>
      <x:c r="N508" t="n">
        <x:f>IF(M508=1,IF(G508&lt;=F508,1,0),0)</x:f>
        <x:v>1</x:v>
      </x:c>
      <x:c r="O508" t="n">
        <x:f>IF(AND(M508=1,K508="Sí",G508&gt;F508),1,0)</x:f>
        <x:v>0</x:v>
      </x:c>
      <x:c r="P508" t="n">
        <x:f>IF(AND(M508=1,I508&gt;0),1,0)</x:f>
        <x:v>0</x:v>
      </x:c>
      <x:c r="Q508" t="n">
        <x:f>IF(AND(B508&gt;=DATE(2026,7,1),B508&lt;=DATE(2026,9,30),G508&gt;=DATE(2026,10,1),G508&lt;=DATE(2026,10,7)),1,0)</x:f>
        <x:v>0</x:v>
      </x:c>
      <x:c r="R508" t="n">
        <x:f>IF(AND(B508&gt;=DATE(2026,7,1),B508&lt;=DATE(2026,9,30),G508&gt;DATE(2026,10,7)),1,0)</x:f>
        <x:v>0</x:v>
      </x:c>
      <x:c r="S508" t="n">
        <x:f>IF(AND(M508=1,J508&lt;&gt;"Ninguna"),1,0)</x:f>
        <x:v>0</x:v>
      </x:c>
    </x:row>
    <x:row r="509">
      <x:c r="A509" t="str">
        <x:v>PED-0508</x:v>
      </x:c>
      <x:c r="B509" s="12" t="n">
        <x:v>46218</x:v>
      </x:c>
      <x:c r="C509" t="str">
        <x:v>MetalNova</x:v>
      </x:c>
      <x:c r="D509" t="str">
        <x:v>Materia prima</x:v>
      </x:c>
      <x:c r="E509" s="10" t="n">
        <x:v>6214.38</x:v>
      </x:c>
      <x:c r="F509" s="12" t="n">
        <x:v>46230</x:v>
      </x:c>
      <x:c r="G509" s="12" t="n">
        <x:v>46234</x:v>
      </x:c>
      <x:c r="H509" t="n">
        <x:v>330</x:v>
      </x:c>
      <x:c r="I509" t="n">
        <x:v>0</x:v>
      </x:c>
      <x:c r="J509" t="str">
        <x:v>Ninguna</x:v>
      </x:c>
      <x:c r="K509" t="str">
        <x:v>No</x:v>
      </x:c>
      <x:c r="L509" t="str">
        <x:v>Zaragoza</x:v>
      </x:c>
      <x:c r="M509" t="n">
        <x:f>IF(AND(B509&gt;=DATE(2026,7,1),B509&lt;=DATE(2026,9,30),G509&gt;=DATE(2026,7,1),G509&lt;=DATE(2026,9,30)),1,0)</x:f>
        <x:v>1</x:v>
      </x:c>
      <x:c r="N509" t="n">
        <x:f>IF(M509=1,IF(G509&lt;=F509,1,0),0)</x:f>
        <x:v>0</x:v>
      </x:c>
      <x:c r="O509" t="n">
        <x:f>IF(AND(M509=1,K509="Sí",G509&gt;F509),1,0)</x:f>
        <x:v>0</x:v>
      </x:c>
      <x:c r="P509" t="n">
        <x:f>IF(AND(M509=1,I509&gt;0),1,0)</x:f>
        <x:v>0</x:v>
      </x:c>
      <x:c r="Q509" t="n">
        <x:f>IF(AND(B509&gt;=DATE(2026,7,1),B509&lt;=DATE(2026,9,30),G509&gt;=DATE(2026,10,1),G509&lt;=DATE(2026,10,7)),1,0)</x:f>
        <x:v>0</x:v>
      </x:c>
      <x:c r="R509" t="n">
        <x:f>IF(AND(B509&gt;=DATE(2026,7,1),B509&lt;=DATE(2026,9,30),G509&gt;DATE(2026,10,7)),1,0)</x:f>
        <x:v>0</x:v>
      </x:c>
      <x:c r="S509" t="n">
        <x:f>IF(AND(M509=1,J509&lt;&gt;"Ninguna"),1,0)</x:f>
        <x:v>0</x:v>
      </x:c>
    </x:row>
    <x:row r="510">
      <x:c r="A510" t="str">
        <x:v>PED-0509</x:v>
      </x:c>
      <x:c r="B510" s="12" t="n">
        <x:v>46271</x:v>
      </x:c>
      <x:c r="C510" t="str">
        <x:v>MecaParts</x:v>
      </x:c>
      <x:c r="D510" t="str">
        <x:v>Componentes mecánicos</x:v>
      </x:c>
      <x:c r="E510" s="10" t="n">
        <x:v>1467.17</x:v>
      </x:c>
      <x:c r="F510" s="12" t="n">
        <x:v>46279</x:v>
      </x:c>
      <x:c r="G510" s="12" t="n">
        <x:v>46286</x:v>
      </x:c>
      <x:c r="H510" t="n">
        <x:v>120</x:v>
      </x:c>
      <x:c r="I510" t="n">
        <x:v>0</x:v>
      </x:c>
      <x:c r="J510" t="str">
        <x:v>Ninguna</x:v>
      </x:c>
      <x:c r="K510" t="str">
        <x:v>No</x:v>
      </x:c>
      <x:c r="L510" t="str">
        <x:v>Valencia</x:v>
      </x:c>
      <x:c r="M510" t="n">
        <x:f>IF(AND(B510&gt;=DATE(2026,7,1),B510&lt;=DATE(2026,9,30),G510&gt;=DATE(2026,7,1),G510&lt;=DATE(2026,9,30)),1,0)</x:f>
        <x:v>1</x:v>
      </x:c>
      <x:c r="N510" t="n">
        <x:f>IF(M510=1,IF(G510&lt;=F510,1,0),0)</x:f>
        <x:v>0</x:v>
      </x:c>
      <x:c r="O510" t="n">
        <x:f>IF(AND(M510=1,K510="Sí",G510&gt;F510),1,0)</x:f>
        <x:v>0</x:v>
      </x:c>
      <x:c r="P510" t="n">
        <x:f>IF(AND(M510=1,I510&gt;0),1,0)</x:f>
        <x:v>0</x:v>
      </x:c>
      <x:c r="Q510" t="n">
        <x:f>IF(AND(B510&gt;=DATE(2026,7,1),B510&lt;=DATE(2026,9,30),G510&gt;=DATE(2026,10,1),G510&lt;=DATE(2026,10,7)),1,0)</x:f>
        <x:v>0</x:v>
      </x:c>
      <x:c r="R510" t="n">
        <x:f>IF(AND(B510&gt;=DATE(2026,7,1),B510&lt;=DATE(2026,9,30),G510&gt;DATE(2026,10,7)),1,0)</x:f>
        <x:v>0</x:v>
      </x:c>
      <x:c r="S510" t="n">
        <x:f>IF(AND(M510=1,J510&lt;&gt;"Ninguna"),1,0)</x:f>
        <x:v>0</x:v>
      </x:c>
    </x:row>
    <x:row r="511">
      <x:c r="A511" t="str">
        <x:v>PED-0510</x:v>
      </x:c>
      <x:c r="B511" s="12" t="n">
        <x:v>46214</x:v>
      </x:c>
      <x:c r="C511" t="str">
        <x:v>PackPro</x:v>
      </x:c>
      <x:c r="D511" t="str">
        <x:v>Embalaje</x:v>
      </x:c>
      <x:c r="E511" s="10" t="n">
        <x:v>4732.42</x:v>
      </x:c>
      <x:c r="F511" s="12" t="n">
        <x:v>46219</x:v>
      </x:c>
      <x:c r="G511" s="12" t="n">
        <x:v>46220</x:v>
      </x:c>
      <x:c r="H511" t="n">
        <x:v>293</x:v>
      </x:c>
      <x:c r="I511" t="n">
        <x:v>0</x:v>
      </x:c>
      <x:c r="J511" t="str">
        <x:v>Ninguna</x:v>
      </x:c>
      <x:c r="K511" t="str">
        <x:v>No</x:v>
      </x:c>
      <x:c r="L511" t="str">
        <x:v>Valencia</x:v>
      </x:c>
      <x:c r="M511" t="n">
        <x:f>IF(AND(B511&gt;=DATE(2026,7,1),B511&lt;=DATE(2026,9,30),G511&gt;=DATE(2026,7,1),G511&lt;=DATE(2026,9,30)),1,0)</x:f>
        <x:v>1</x:v>
      </x:c>
      <x:c r="N511" t="n">
        <x:f>IF(M511=1,IF(G511&lt;=F511,1,0),0)</x:f>
        <x:v>0</x:v>
      </x:c>
      <x:c r="O511" t="n">
        <x:f>IF(AND(M511=1,K511="Sí",G511&gt;F511),1,0)</x:f>
        <x:v>0</x:v>
      </x:c>
      <x:c r="P511" t="n">
        <x:f>IF(AND(M511=1,I511&gt;0),1,0)</x:f>
        <x:v>0</x:v>
      </x:c>
      <x:c r="Q511" t="n">
        <x:f>IF(AND(B511&gt;=DATE(2026,7,1),B511&lt;=DATE(2026,9,30),G511&gt;=DATE(2026,10,1),G511&lt;=DATE(2026,10,7)),1,0)</x:f>
        <x:v>0</x:v>
      </x:c>
      <x:c r="R511" t="n">
        <x:f>IF(AND(B511&gt;=DATE(2026,7,1),B511&lt;=DATE(2026,9,30),G511&gt;DATE(2026,10,7)),1,0)</x:f>
        <x:v>0</x:v>
      </x:c>
      <x:c r="S511" t="n">
        <x:f>IF(AND(M511=1,J511&lt;&gt;"Ninguna"),1,0)</x:f>
        <x:v>0</x:v>
      </x:c>
    </x:row>
    <x:row r="512">
      <x:c r="A512" t="str">
        <x:v>PED-0511</x:v>
      </x:c>
      <x:c r="B512" s="12" t="n">
        <x:v>46238</x:v>
      </x:c>
      <x:c r="C512" t="str">
        <x:v>MetalNova</x:v>
      </x:c>
      <x:c r="D512" t="str">
        <x:v>Materia prima</x:v>
      </x:c>
      <x:c r="E512" s="10" t="n">
        <x:v>3315.05</x:v>
      </x:c>
      <x:c r="F512" s="12" t="n">
        <x:v>46247</x:v>
      </x:c>
      <x:c r="G512" s="12" t="n">
        <x:v>46249</x:v>
      </x:c>
      <x:c r="H512" t="n">
        <x:v>136</x:v>
      </x:c>
      <x:c r="I512" t="n">
        <x:v>0</x:v>
      </x:c>
      <x:c r="J512" t="str">
        <x:v>Ninguna</x:v>
      </x:c>
      <x:c r="K512" t="str">
        <x:v>No</x:v>
      </x:c>
      <x:c r="L512" t="str">
        <x:v>Barcelona</x:v>
      </x:c>
      <x:c r="M512" t="n">
        <x:f>IF(AND(B512&gt;=DATE(2026,7,1),B512&lt;=DATE(2026,9,30),G512&gt;=DATE(2026,7,1),G512&lt;=DATE(2026,9,30)),1,0)</x:f>
        <x:v>1</x:v>
      </x:c>
      <x:c r="N512" t="n">
        <x:f>IF(M512=1,IF(G512&lt;=F512,1,0),0)</x:f>
        <x:v>0</x:v>
      </x:c>
      <x:c r="O512" t="n">
        <x:f>IF(AND(M512=1,K512="Sí",G512&gt;F512),1,0)</x:f>
        <x:v>0</x:v>
      </x:c>
      <x:c r="P512" t="n">
        <x:f>IF(AND(M512=1,I512&gt;0),1,0)</x:f>
        <x:v>0</x:v>
      </x:c>
      <x:c r="Q512" t="n">
        <x:f>IF(AND(B512&gt;=DATE(2026,7,1),B512&lt;=DATE(2026,9,30),G512&gt;=DATE(2026,10,1),G512&lt;=DATE(2026,10,7)),1,0)</x:f>
        <x:v>0</x:v>
      </x:c>
      <x:c r="R512" t="n">
        <x:f>IF(AND(B512&gt;=DATE(2026,7,1),B512&lt;=DATE(2026,9,30),G512&gt;DATE(2026,10,7)),1,0)</x:f>
        <x:v>0</x:v>
      </x:c>
      <x:c r="S512" t="n">
        <x:f>IF(AND(M512=1,J512&lt;&gt;"Ninguna"),1,0)</x:f>
        <x:v>0</x:v>
      </x:c>
    </x:row>
    <x:row r="513">
      <x:c r="A513" t="str">
        <x:v>PED-0512</x:v>
      </x:c>
      <x:c r="B513" s="12" t="n">
        <x:v>46206</x:v>
      </x:c>
      <x:c r="C513" t="str">
        <x:v>MetalNova</x:v>
      </x:c>
      <x:c r="D513" t="str">
        <x:v>Componentes mecánicos</x:v>
      </x:c>
      <x:c r="E513" s="10" t="n">
        <x:v>13076.4</x:v>
      </x:c>
      <x:c r="F513" s="12" t="n">
        <x:v>46217</x:v>
      </x:c>
      <x:c r="G513" s="12" t="n">
        <x:v>46220</x:v>
      </x:c>
      <x:c r="H513" t="n">
        <x:v>357</x:v>
      </x:c>
      <x:c r="I513" t="n">
        <x:v>0</x:v>
      </x:c>
      <x:c r="J513" t="str">
        <x:v>Ninguna</x:v>
      </x:c>
      <x:c r="K513" t="str">
        <x:v>No</x:v>
      </x:c>
      <x:c r="L513" t="str">
        <x:v>Barcelona</x:v>
      </x:c>
      <x:c r="M513" t="n">
        <x:f>IF(AND(B513&gt;=DATE(2026,7,1),B513&lt;=DATE(2026,9,30),G513&gt;=DATE(2026,7,1),G513&lt;=DATE(2026,9,30)),1,0)</x:f>
        <x:v>1</x:v>
      </x:c>
      <x:c r="N513" t="n">
        <x:f>IF(M513=1,IF(G513&lt;=F513,1,0),0)</x:f>
        <x:v>0</x:v>
      </x:c>
      <x:c r="O513" t="n">
        <x:f>IF(AND(M513=1,K513="Sí",G513&gt;F513),1,0)</x:f>
        <x:v>0</x:v>
      </x:c>
      <x:c r="P513" t="n">
        <x:f>IF(AND(M513=1,I513&gt;0),1,0)</x:f>
        <x:v>0</x:v>
      </x:c>
      <x:c r="Q513" t="n">
        <x:f>IF(AND(B513&gt;=DATE(2026,7,1),B513&lt;=DATE(2026,9,30),G513&gt;=DATE(2026,10,1),G513&lt;=DATE(2026,10,7)),1,0)</x:f>
        <x:v>0</x:v>
      </x:c>
      <x:c r="R513" t="n">
        <x:f>IF(AND(B513&gt;=DATE(2026,7,1),B513&lt;=DATE(2026,9,30),G513&gt;DATE(2026,10,7)),1,0)</x:f>
        <x:v>0</x:v>
      </x:c>
      <x:c r="S513" t="n">
        <x:f>IF(AND(M513=1,J513&lt;&gt;"Ninguna"),1,0)</x:f>
        <x:v>0</x:v>
      </x:c>
    </x:row>
    <x:row r="514">
      <x:c r="A514" t="str">
        <x:v>PED-0513</x:v>
      </x:c>
      <x:c r="B514" s="12" t="n">
        <x:v>46230</x:v>
      </x:c>
      <x:c r="C514" t="str">
        <x:v>MetalNova</x:v>
      </x:c>
      <x:c r="D514" t="str">
        <x:v>Componentes mecánicos</x:v>
      </x:c>
      <x:c r="E514" s="10" t="n">
        <x:v>899.72</x:v>
      </x:c>
      <x:c r="F514" s="12" t="n">
        <x:v>46242</x:v>
      </x:c>
      <x:c r="G514" s="12" t="n">
        <x:v>46249</x:v>
      </x:c>
      <x:c r="H514" t="n">
        <x:v>177</x:v>
      </x:c>
      <x:c r="I514" t="n">
        <x:v>0</x:v>
      </x:c>
      <x:c r="J514" t="str">
        <x:v>Retraso</x:v>
      </x:c>
      <x:c r="K514" t="str">
        <x:v>No</x:v>
      </x:c>
      <x:c r="L514" t="str">
        <x:v>Barcelona</x:v>
      </x:c>
      <x:c r="M514" t="n">
        <x:f>IF(AND(B514&gt;=DATE(2026,7,1),B514&lt;=DATE(2026,9,30),G514&gt;=DATE(2026,7,1),G514&lt;=DATE(2026,9,30)),1,0)</x:f>
        <x:v>1</x:v>
      </x:c>
      <x:c r="N514" t="n">
        <x:f>IF(M514=1,IF(G514&lt;=F514,1,0),0)</x:f>
        <x:v>0</x:v>
      </x:c>
      <x:c r="O514" t="n">
        <x:f>IF(AND(M514=1,K514="Sí",G514&gt;F514),1,0)</x:f>
        <x:v>0</x:v>
      </x:c>
      <x:c r="P514" t="n">
        <x:f>IF(AND(M514=1,I514&gt;0),1,0)</x:f>
        <x:v>0</x:v>
      </x:c>
      <x:c r="Q514" t="n">
        <x:f>IF(AND(B514&gt;=DATE(2026,7,1),B514&lt;=DATE(2026,9,30),G514&gt;=DATE(2026,10,1),G514&lt;=DATE(2026,10,7)),1,0)</x:f>
        <x:v>0</x:v>
      </x:c>
      <x:c r="R514" t="n">
        <x:f>IF(AND(B514&gt;=DATE(2026,7,1),B514&lt;=DATE(2026,9,30),G514&gt;DATE(2026,10,7)),1,0)</x:f>
        <x:v>0</x:v>
      </x:c>
      <x:c r="S514" t="n">
        <x:f>IF(AND(M514=1,J514&lt;&gt;"Ninguna"),1,0)</x:f>
        <x:v>1</x:v>
      </x:c>
    </x:row>
    <x:row r="515">
      <x:c r="A515" t="str">
        <x:v>PED-0514</x:v>
      </x:c>
      <x:c r="B515" s="12" t="n">
        <x:v>46281</x:v>
      </x:c>
      <x:c r="C515" t="str">
        <x:v>ElectraSupply</x:v>
      </x:c>
      <x:c r="D515" t="str">
        <x:v>Componentes eléctricos</x:v>
      </x:c>
      <x:c r="E515" s="10" t="n">
        <x:v>4846.69</x:v>
      </x:c>
      <x:c r="F515" s="12" t="n">
        <x:v>46295</x:v>
      </x:c>
      <x:c r="G515" s="12" t="n">
        <x:v>46297</x:v>
      </x:c>
      <x:c r="H515" t="n">
        <x:v>104</x:v>
      </x:c>
      <x:c r="I515" t="n">
        <x:v>0</x:v>
      </x:c>
      <x:c r="J515" t="str">
        <x:v>Ninguna</x:v>
      </x:c>
      <x:c r="K515" t="str">
        <x:v>No</x:v>
      </x:c>
      <x:c r="L515" t="str">
        <x:v>Valencia</x:v>
      </x:c>
      <x:c r="M515" t="n">
        <x:f>IF(AND(B515&gt;=DATE(2026,7,1),B515&lt;=DATE(2026,9,30),G515&gt;=DATE(2026,7,1),G515&lt;=DATE(2026,9,30)),1,0)</x:f>
        <x:v>0</x:v>
      </x:c>
      <x:c r="N515" t="n">
        <x:f>IF(M515=1,IF(G515&lt;=F515,1,0),0)</x:f>
        <x:v>0</x:v>
      </x:c>
      <x:c r="O515" t="n">
        <x:f>IF(AND(M515=1,K515="Sí",G515&gt;F515),1,0)</x:f>
        <x:v>0</x:v>
      </x:c>
      <x:c r="P515" t="n">
        <x:f>IF(AND(M515=1,I515&gt;0),1,0)</x:f>
        <x:v>0</x:v>
      </x:c>
      <x:c r="Q515" t="n">
        <x:f>IF(AND(B515&gt;=DATE(2026,7,1),B515&lt;=DATE(2026,9,30),G515&gt;=DATE(2026,10,1),G515&lt;=DATE(2026,10,7)),1,0)</x:f>
        <x:v>1</x:v>
      </x:c>
      <x:c r="R515" t="n">
        <x:f>IF(AND(B515&gt;=DATE(2026,7,1),B515&lt;=DATE(2026,9,30),G515&gt;DATE(2026,10,7)),1,0)</x:f>
        <x:v>0</x:v>
      </x:c>
      <x:c r="S515" t="n">
        <x:f>IF(AND(M515=1,J515&lt;&gt;"Ninguna"),1,0)</x:f>
        <x:v>0</x:v>
      </x:c>
    </x:row>
    <x:row r="516">
      <x:c r="A516" t="str">
        <x:v>PED-0515</x:v>
      </x:c>
      <x:c r="B516" s="12" t="n">
        <x:v>46222</x:v>
      </x:c>
      <x:c r="C516" t="str">
        <x:v>MecaParts</x:v>
      </x:c>
      <x:c r="D516" t="str">
        <x:v>Componentes mecánicos</x:v>
      </x:c>
      <x:c r="E516" s="10" t="n">
        <x:v>12683.27</x:v>
      </x:c>
      <x:c r="F516" s="12" t="n">
        <x:v>46232</x:v>
      </x:c>
      <x:c r="G516" s="12" t="n">
        <x:v>46234</x:v>
      </x:c>
      <x:c r="H516" t="n">
        <x:v>325</x:v>
      </x:c>
      <x:c r="I516" t="n">
        <x:v>0</x:v>
      </x:c>
      <x:c r="J516" t="str">
        <x:v>Ninguna</x:v>
      </x:c>
      <x:c r="K516" t="str">
        <x:v>No</x:v>
      </x:c>
      <x:c r="L516" t="str">
        <x:v>Zaragoza</x:v>
      </x:c>
      <x:c r="M516" t="n">
        <x:f>IF(AND(B516&gt;=DATE(2026,7,1),B516&lt;=DATE(2026,9,30),G516&gt;=DATE(2026,7,1),G516&lt;=DATE(2026,9,30)),1,0)</x:f>
        <x:v>1</x:v>
      </x:c>
      <x:c r="N516" t="n">
        <x:f>IF(M516=1,IF(G516&lt;=F516,1,0),0)</x:f>
        <x:v>0</x:v>
      </x:c>
      <x:c r="O516" t="n">
        <x:f>IF(AND(M516=1,K516="Sí",G516&gt;F516),1,0)</x:f>
        <x:v>0</x:v>
      </x:c>
      <x:c r="P516" t="n">
        <x:f>IF(AND(M516=1,I516&gt;0),1,0)</x:f>
        <x:v>0</x:v>
      </x:c>
      <x:c r="Q516" t="n">
        <x:f>IF(AND(B516&gt;=DATE(2026,7,1),B516&lt;=DATE(2026,9,30),G516&gt;=DATE(2026,10,1),G516&lt;=DATE(2026,10,7)),1,0)</x:f>
        <x:v>0</x:v>
      </x:c>
      <x:c r="R516" t="n">
        <x:f>IF(AND(B516&gt;=DATE(2026,7,1),B516&lt;=DATE(2026,9,30),G516&gt;DATE(2026,10,7)),1,0)</x:f>
        <x:v>0</x:v>
      </x:c>
      <x:c r="S516" t="n">
        <x:f>IF(AND(M516=1,J516&lt;&gt;"Ninguna"),1,0)</x:f>
        <x:v>0</x:v>
      </x:c>
    </x:row>
    <x:row r="517">
      <x:c r="A517" t="str">
        <x:v>PED-0516</x:v>
      </x:c>
      <x:c r="B517" s="12" t="n">
        <x:v>46254</x:v>
      </x:c>
      <x:c r="C517" t="str">
        <x:v>ElectraSupply</x:v>
      </x:c>
      <x:c r="D517" t="str">
        <x:v>Componentes eléctricos</x:v>
      </x:c>
      <x:c r="E517" s="10" t="n">
        <x:v>4674.02</x:v>
      </x:c>
      <x:c r="F517" s="12" t="n">
        <x:v>46268</x:v>
      </x:c>
      <x:c r="G517" s="12" t="n">
        <x:v>46271</x:v>
      </x:c>
      <x:c r="H517" t="n">
        <x:v>176</x:v>
      </x:c>
      <x:c r="I517" t="n">
        <x:v>0</x:v>
      </x:c>
      <x:c r="J517" t="str">
        <x:v>Ninguna</x:v>
      </x:c>
      <x:c r="K517" t="str">
        <x:v>No</x:v>
      </x:c>
      <x:c r="L517" t="str">
        <x:v>Zaragoza</x:v>
      </x:c>
      <x:c r="M517" t="n">
        <x:f>IF(AND(B517&gt;=DATE(2026,7,1),B517&lt;=DATE(2026,9,30),G517&gt;=DATE(2026,7,1),G517&lt;=DATE(2026,9,30)),1,0)</x:f>
        <x:v>1</x:v>
      </x:c>
      <x:c r="N517" t="n">
        <x:f>IF(M517=1,IF(G517&lt;=F517,1,0),0)</x:f>
        <x:v>0</x:v>
      </x:c>
      <x:c r="O517" t="n">
        <x:f>IF(AND(M517=1,K517="Sí",G517&gt;F517),1,0)</x:f>
        <x:v>0</x:v>
      </x:c>
      <x:c r="P517" t="n">
        <x:f>IF(AND(M517=1,I517&gt;0),1,0)</x:f>
        <x:v>0</x:v>
      </x:c>
      <x:c r="Q517" t="n">
        <x:f>IF(AND(B517&gt;=DATE(2026,7,1),B517&lt;=DATE(2026,9,30),G517&gt;=DATE(2026,10,1),G517&lt;=DATE(2026,10,7)),1,0)</x:f>
        <x:v>0</x:v>
      </x:c>
      <x:c r="R517" t="n">
        <x:f>IF(AND(B517&gt;=DATE(2026,7,1),B517&lt;=DATE(2026,9,30),G517&gt;DATE(2026,10,7)),1,0)</x:f>
        <x:v>0</x:v>
      </x:c>
      <x:c r="S517" t="n">
        <x:f>IF(AND(M517=1,J517&lt;&gt;"Ninguna"),1,0)</x:f>
        <x:v>0</x:v>
      </x:c>
    </x:row>
    <x:row r="518">
      <x:c r="A518" t="str">
        <x:v>PED-0517</x:v>
      </x:c>
      <x:c r="B518" s="12" t="n">
        <x:v>46288</x:v>
      </x:c>
      <x:c r="C518" t="str">
        <x:v>ElectraSupply</x:v>
      </x:c>
      <x:c r="D518" t="str">
        <x:v>Componentes eléctricos</x:v>
      </x:c>
      <x:c r="E518" s="10" t="n">
        <x:v>8507.45</x:v>
      </x:c>
      <x:c r="F518" s="12" t="n">
        <x:v>46302</x:v>
      </x:c>
      <x:c r="G518" s="12" t="n">
        <x:v>46307</x:v>
      </x:c>
      <x:c r="H518" t="n">
        <x:v>215</x:v>
      </x:c>
      <x:c r="I518" t="n">
        <x:v>0</x:v>
      </x:c>
      <x:c r="J518" t="str">
        <x:v>Ninguna</x:v>
      </x:c>
      <x:c r="K518" t="str">
        <x:v>No</x:v>
      </x:c>
      <x:c r="L518" t="str">
        <x:v>Barcelona</x:v>
      </x:c>
      <x:c r="M518" t="n">
        <x:f>IF(AND(B518&gt;=DATE(2026,7,1),B518&lt;=DATE(2026,9,30),G518&gt;=DATE(2026,7,1),G518&lt;=DATE(2026,9,30)),1,0)</x:f>
        <x:v>0</x:v>
      </x:c>
      <x:c r="N518" t="n">
        <x:f>IF(M518=1,IF(G518&lt;=F518,1,0),0)</x:f>
        <x:v>0</x:v>
      </x:c>
      <x:c r="O518" t="n">
        <x:f>IF(AND(M518=1,K518="Sí",G518&gt;F518),1,0)</x:f>
        <x:v>0</x:v>
      </x:c>
      <x:c r="P518" t="n">
        <x:f>IF(AND(M518=1,I518&gt;0),1,0)</x:f>
        <x:v>0</x:v>
      </x:c>
      <x:c r="Q518" t="n">
        <x:f>IF(AND(B518&gt;=DATE(2026,7,1),B518&lt;=DATE(2026,9,30),G518&gt;=DATE(2026,10,1),G518&lt;=DATE(2026,10,7)),1,0)</x:f>
        <x:v>0</x:v>
      </x:c>
      <x:c r="R518" t="n">
        <x:f>IF(AND(B518&gt;=DATE(2026,7,1),B518&lt;=DATE(2026,9,30),G518&gt;DATE(2026,10,7)),1,0)</x:f>
        <x:v>1</x:v>
      </x:c>
      <x:c r="S518" t="n">
        <x:f>IF(AND(M518=1,J518&lt;&gt;"Ninguna"),1,0)</x:f>
        <x:v>0</x:v>
      </x:c>
    </x:row>
    <x:row r="519">
      <x:c r="A519" t="str">
        <x:v>PED-0518</x:v>
      </x:c>
      <x:c r="B519" s="12" t="n">
        <x:v>46222</x:v>
      </x:c>
      <x:c r="C519" t="str">
        <x:v>MetalNova</x:v>
      </x:c>
      <x:c r="D519" t="str">
        <x:v>Componentes mecánicos</x:v>
      </x:c>
      <x:c r="E519" s="10" t="n">
        <x:v>3115.29</x:v>
      </x:c>
      <x:c r="F519" s="12" t="n">
        <x:v>46232</x:v>
      </x:c>
      <x:c r="G519" s="12" t="n">
        <x:v>46232</x:v>
      </x:c>
      <x:c r="H519" t="n">
        <x:v>69</x:v>
      </x:c>
      <x:c r="I519" t="n">
        <x:v>0</x:v>
      </x:c>
      <x:c r="J519" t="str">
        <x:v>Ninguna</x:v>
      </x:c>
      <x:c r="K519" t="str">
        <x:v>No</x:v>
      </x:c>
      <x:c r="L519" t="str">
        <x:v>Zaragoza</x:v>
      </x:c>
      <x:c r="M519" t="n">
        <x:f>IF(AND(B519&gt;=DATE(2026,7,1),B519&lt;=DATE(2026,9,30),G519&gt;=DATE(2026,7,1),G519&lt;=DATE(2026,9,30)),1,0)</x:f>
        <x:v>1</x:v>
      </x:c>
      <x:c r="N519" t="n">
        <x:f>IF(M519=1,IF(G519&lt;=F519,1,0),0)</x:f>
        <x:v>1</x:v>
      </x:c>
      <x:c r="O519" t="n">
        <x:f>IF(AND(M519=1,K519="Sí",G519&gt;F519),1,0)</x:f>
        <x:v>0</x:v>
      </x:c>
      <x:c r="P519" t="n">
        <x:f>IF(AND(M519=1,I519&gt;0),1,0)</x:f>
        <x:v>0</x:v>
      </x:c>
      <x:c r="Q519" t="n">
        <x:f>IF(AND(B519&gt;=DATE(2026,7,1),B519&lt;=DATE(2026,9,30),G519&gt;=DATE(2026,10,1),G519&lt;=DATE(2026,10,7)),1,0)</x:f>
        <x:v>0</x:v>
      </x:c>
      <x:c r="R519" t="n">
        <x:f>IF(AND(B519&gt;=DATE(2026,7,1),B519&lt;=DATE(2026,9,30),G519&gt;DATE(2026,10,7)),1,0)</x:f>
        <x:v>0</x:v>
      </x:c>
      <x:c r="S519" t="n">
        <x:f>IF(AND(M519=1,J519&lt;&gt;"Ninguna"),1,0)</x:f>
        <x:v>0</x:v>
      </x:c>
    </x:row>
    <x:row r="520">
      <x:c r="A520" t="str">
        <x:v>PED-0519</x:v>
      </x:c>
      <x:c r="B520" s="12" t="n">
        <x:v>46222</x:v>
      </x:c>
      <x:c r="C520" t="str">
        <x:v>PackPro</x:v>
      </x:c>
      <x:c r="D520" t="str">
        <x:v>Embalaje</x:v>
      </x:c>
      <x:c r="E520" s="10" t="n">
        <x:v>1525.91</x:v>
      </x:c>
      <x:c r="F520" s="12" t="n">
        <x:v>46230</x:v>
      </x:c>
      <x:c r="G520" s="12" t="n">
        <x:v>46229</x:v>
      </x:c>
      <x:c r="H520" t="n">
        <x:v>238</x:v>
      </x:c>
      <x:c r="I520" t="n">
        <x:v>0</x:v>
      </x:c>
      <x:c r="J520" t="str">
        <x:v>Ninguna</x:v>
      </x:c>
      <x:c r="K520" t="str">
        <x:v>Sí</x:v>
      </x:c>
      <x:c r="L520" t="str">
        <x:v>Zaragoza</x:v>
      </x:c>
      <x:c r="M520" t="n">
        <x:f>IF(AND(B520&gt;=DATE(2026,7,1),B520&lt;=DATE(2026,9,30),G520&gt;=DATE(2026,7,1),G520&lt;=DATE(2026,9,30)),1,0)</x:f>
        <x:v>1</x:v>
      </x:c>
      <x:c r="N520" t="n">
        <x:f>IF(M520=1,IF(G520&lt;=F520,1,0),0)</x:f>
        <x:v>1</x:v>
      </x:c>
      <x:c r="O520" t="n">
        <x:f>IF(AND(M520=1,K520="Sí",G520&gt;F520),1,0)</x:f>
        <x:v>0</x:v>
      </x:c>
      <x:c r="P520" t="n">
        <x:f>IF(AND(M520=1,I520&gt;0),1,0)</x:f>
        <x:v>0</x:v>
      </x:c>
      <x:c r="Q520" t="n">
        <x:f>IF(AND(B520&gt;=DATE(2026,7,1),B520&lt;=DATE(2026,9,30),G520&gt;=DATE(2026,10,1),G520&lt;=DATE(2026,10,7)),1,0)</x:f>
        <x:v>0</x:v>
      </x:c>
      <x:c r="R520" t="n">
        <x:f>IF(AND(B520&gt;=DATE(2026,7,1),B520&lt;=DATE(2026,9,30),G520&gt;DATE(2026,10,7)),1,0)</x:f>
        <x:v>0</x:v>
      </x:c>
      <x:c r="S520" t="n">
        <x:f>IF(AND(M520=1,J520&lt;&gt;"Ninguna"),1,0)</x:f>
        <x:v>0</x:v>
      </x:c>
    </x:row>
    <x:row r="521">
      <x:c r="A521" t="str">
        <x:v>PED-0520</x:v>
      </x:c>
      <x:c r="B521" s="12" t="n">
        <x:v>46215</x:v>
      </x:c>
      <x:c r="C521" t="str">
        <x:v>MetalNova</x:v>
      </x:c>
      <x:c r="D521" t="str">
        <x:v>Materia prima</x:v>
      </x:c>
      <x:c r="E521" s="10" t="n">
        <x:v>1550.27</x:v>
      </x:c>
      <x:c r="F521" s="12" t="n">
        <x:v>46227</x:v>
      </x:c>
      <x:c r="G521" s="12" t="n">
        <x:v>46230</x:v>
      </x:c>
      <x:c r="H521" t="n">
        <x:v>179</x:v>
      </x:c>
      <x:c r="I521" t="n">
        <x:v>0</x:v>
      </x:c>
      <x:c r="J521" t="str">
        <x:v>Daño transporte</x:v>
      </x:c>
      <x:c r="K521" t="str">
        <x:v>No</x:v>
      </x:c>
      <x:c r="L521" t="str">
        <x:v>Barcelona</x:v>
      </x:c>
      <x:c r="M521" t="n">
        <x:f>IF(AND(B521&gt;=DATE(2026,7,1),B521&lt;=DATE(2026,9,30),G521&gt;=DATE(2026,7,1),G521&lt;=DATE(2026,9,30)),1,0)</x:f>
        <x:v>1</x:v>
      </x:c>
      <x:c r="N521" t="n">
        <x:f>IF(M521=1,IF(G521&lt;=F521,1,0),0)</x:f>
        <x:v>0</x:v>
      </x:c>
      <x:c r="O521" t="n">
        <x:f>IF(AND(M521=1,K521="Sí",G521&gt;F521),1,0)</x:f>
        <x:v>0</x:v>
      </x:c>
      <x:c r="P521" t="n">
        <x:f>IF(AND(M521=1,I521&gt;0),1,0)</x:f>
        <x:v>0</x:v>
      </x:c>
      <x:c r="Q521" t="n">
        <x:f>IF(AND(B521&gt;=DATE(2026,7,1),B521&lt;=DATE(2026,9,30),G521&gt;=DATE(2026,10,1),G521&lt;=DATE(2026,10,7)),1,0)</x:f>
        <x:v>0</x:v>
      </x:c>
      <x:c r="R521" t="n">
        <x:f>IF(AND(B521&gt;=DATE(2026,7,1),B521&lt;=DATE(2026,9,30),G521&gt;DATE(2026,10,7)),1,0)</x:f>
        <x:v>0</x:v>
      </x:c>
      <x:c r="S521" t="n">
        <x:f>IF(AND(M521=1,J521&lt;&gt;"Ninguna"),1,0)</x:f>
        <x:v>1</x:v>
      </x:c>
    </x:row>
    <x:row r="522">
      <x:c r="A522" t="str">
        <x:v>PED-0521</x:v>
      </x:c>
      <x:c r="B522" s="12" t="n">
        <x:v>46218</x:v>
      </x:c>
      <x:c r="C522" t="str">
        <x:v>ElectraSupply</x:v>
      </x:c>
      <x:c r="D522" t="str">
        <x:v>Componentes eléctricos</x:v>
      </x:c>
      <x:c r="E522" s="10" t="n">
        <x:v>6998.33</x:v>
      </x:c>
      <x:c r="F522" s="12" t="n">
        <x:v>46229</x:v>
      </x:c>
      <x:c r="G522" s="12" t="n">
        <x:v>46234</x:v>
      </x:c>
      <x:c r="H522" t="n">
        <x:v>138</x:v>
      </x:c>
      <x:c r="I522" t="n">
        <x:v>0</x:v>
      </x:c>
      <x:c r="J522" t="str">
        <x:v>Ninguna</x:v>
      </x:c>
      <x:c r="K522" t="str">
        <x:v>No</x:v>
      </x:c>
      <x:c r="L522" t="str">
        <x:v>Zaragoza</x:v>
      </x:c>
      <x:c r="M522" t="n">
        <x:f>IF(AND(B522&gt;=DATE(2026,7,1),B522&lt;=DATE(2026,9,30),G522&gt;=DATE(2026,7,1),G522&lt;=DATE(2026,9,30)),1,0)</x:f>
        <x:v>1</x:v>
      </x:c>
      <x:c r="N522" t="n">
        <x:f>IF(M522=1,IF(G522&lt;=F522,1,0),0)</x:f>
        <x:v>0</x:v>
      </x:c>
      <x:c r="O522" t="n">
        <x:f>IF(AND(M522=1,K522="Sí",G522&gt;F522),1,0)</x:f>
        <x:v>0</x:v>
      </x:c>
      <x:c r="P522" t="n">
        <x:f>IF(AND(M522=1,I522&gt;0),1,0)</x:f>
        <x:v>0</x:v>
      </x:c>
      <x:c r="Q522" t="n">
        <x:f>IF(AND(B522&gt;=DATE(2026,7,1),B522&lt;=DATE(2026,9,30),G522&gt;=DATE(2026,10,1),G522&lt;=DATE(2026,10,7)),1,0)</x:f>
        <x:v>0</x:v>
      </x:c>
      <x:c r="R522" t="n">
        <x:f>IF(AND(B522&gt;=DATE(2026,7,1),B522&lt;=DATE(2026,9,30),G522&gt;DATE(2026,10,7)),1,0)</x:f>
        <x:v>0</x:v>
      </x:c>
      <x:c r="S522" t="n">
        <x:f>IF(AND(M522=1,J522&lt;&gt;"Ninguna"),1,0)</x:f>
        <x:v>0</x:v>
      </x:c>
    </x:row>
    <x:row r="523">
      <x:c r="A523" t="str">
        <x:v>PED-0522</x:v>
      </x:c>
      <x:c r="B523" s="12" t="n">
        <x:v>46233</x:v>
      </x:c>
      <x:c r="C523" t="str">
        <x:v>ElectraSupply</x:v>
      </x:c>
      <x:c r="D523" t="str">
        <x:v>Componentes eléctricos</x:v>
      </x:c>
      <x:c r="E523" s="10" t="n">
        <x:v>1243.99</x:v>
      </x:c>
      <x:c r="F523" s="12" t="n">
        <x:v>46244</x:v>
      </x:c>
      <x:c r="G523" s="12" t="n">
        <x:v>46250</x:v>
      </x:c>
      <x:c r="H523" t="n">
        <x:v>138</x:v>
      </x:c>
      <x:c r="I523" t="n">
        <x:v>0</x:v>
      </x:c>
      <x:c r="J523" t="str">
        <x:v>Ninguna</x:v>
      </x:c>
      <x:c r="K523" t="str">
        <x:v>No</x:v>
      </x:c>
      <x:c r="L523" t="str">
        <x:v>Valencia</x:v>
      </x:c>
      <x:c r="M523" t="n">
        <x:f>IF(AND(B523&gt;=DATE(2026,7,1),B523&lt;=DATE(2026,9,30),G523&gt;=DATE(2026,7,1),G523&lt;=DATE(2026,9,30)),1,0)</x:f>
        <x:v>1</x:v>
      </x:c>
      <x:c r="N523" t="n">
        <x:f>IF(M523=1,IF(G523&lt;=F523,1,0),0)</x:f>
        <x:v>0</x:v>
      </x:c>
      <x:c r="O523" t="n">
        <x:f>IF(AND(M523=1,K523="Sí",G523&gt;F523),1,0)</x:f>
        <x:v>0</x:v>
      </x:c>
      <x:c r="P523" t="n">
        <x:f>IF(AND(M523=1,I523&gt;0),1,0)</x:f>
        <x:v>0</x:v>
      </x:c>
      <x:c r="Q523" t="n">
        <x:f>IF(AND(B523&gt;=DATE(2026,7,1),B523&lt;=DATE(2026,9,30),G523&gt;=DATE(2026,10,1),G523&lt;=DATE(2026,10,7)),1,0)</x:f>
        <x:v>0</x:v>
      </x:c>
      <x:c r="R523" t="n">
        <x:f>IF(AND(B523&gt;=DATE(2026,7,1),B523&lt;=DATE(2026,9,30),G523&gt;DATE(2026,10,7)),1,0)</x:f>
        <x:v>0</x:v>
      </x:c>
      <x:c r="S523" t="n">
        <x:f>IF(AND(M523=1,J523&lt;&gt;"Ninguna"),1,0)</x:f>
        <x:v>0</x:v>
      </x:c>
    </x:row>
    <x:row r="524">
      <x:c r="A524" t="str">
        <x:v>PED-0523</x:v>
      </x:c>
      <x:c r="B524" s="12" t="n">
        <x:v>46231</x:v>
      </x:c>
      <x:c r="C524" t="str">
        <x:v>MetalNova</x:v>
      </x:c>
      <x:c r="D524" t="str">
        <x:v>Materia prima</x:v>
      </x:c>
      <x:c r="E524" s="10" t="n">
        <x:v>2995.92</x:v>
      </x:c>
      <x:c r="F524" s="12" t="n">
        <x:v>46240</x:v>
      </x:c>
      <x:c r="G524" s="12" t="n">
        <x:v>46244</x:v>
      </x:c>
      <x:c r="H524" t="n">
        <x:v>151</x:v>
      </x:c>
      <x:c r="I524" t="n">
        <x:v>0</x:v>
      </x:c>
      <x:c r="J524" t="str">
        <x:v>Ninguna</x:v>
      </x:c>
      <x:c r="K524" t="str">
        <x:v>No</x:v>
      </x:c>
      <x:c r="L524" t="str">
        <x:v>Valencia</x:v>
      </x:c>
      <x:c r="M524" t="n">
        <x:f>IF(AND(B524&gt;=DATE(2026,7,1),B524&lt;=DATE(2026,9,30),G524&gt;=DATE(2026,7,1),G524&lt;=DATE(2026,9,30)),1,0)</x:f>
        <x:v>1</x:v>
      </x:c>
      <x:c r="N524" t="n">
        <x:f>IF(M524=1,IF(G524&lt;=F524,1,0),0)</x:f>
        <x:v>0</x:v>
      </x:c>
      <x:c r="O524" t="n">
        <x:f>IF(AND(M524=1,K524="Sí",G524&gt;F524),1,0)</x:f>
        <x:v>0</x:v>
      </x:c>
      <x:c r="P524" t="n">
        <x:f>IF(AND(M524=1,I524&gt;0),1,0)</x:f>
        <x:v>0</x:v>
      </x:c>
      <x:c r="Q524" t="n">
        <x:f>IF(AND(B524&gt;=DATE(2026,7,1),B524&lt;=DATE(2026,9,30),G524&gt;=DATE(2026,10,1),G524&lt;=DATE(2026,10,7)),1,0)</x:f>
        <x:v>0</x:v>
      </x:c>
      <x:c r="R524" t="n">
        <x:f>IF(AND(B524&gt;=DATE(2026,7,1),B524&lt;=DATE(2026,9,30),G524&gt;DATE(2026,10,7)),1,0)</x:f>
        <x:v>0</x:v>
      </x:c>
      <x:c r="S524" t="n">
        <x:f>IF(AND(M524=1,J524&lt;&gt;"Ninguna"),1,0)</x:f>
        <x:v>0</x:v>
      </x:c>
    </x:row>
    <x:row r="525">
      <x:c r="A525" t="str">
        <x:v>PED-0524</x:v>
      </x:c>
      <x:c r="B525" s="12" t="n">
        <x:v>46222</x:v>
      </x:c>
      <x:c r="C525" t="str">
        <x:v>PackPro</x:v>
      </x:c>
      <x:c r="D525" t="str">
        <x:v>Embalaje</x:v>
      </x:c>
      <x:c r="E525" s="10" t="n">
        <x:v>7064.63</x:v>
      </x:c>
      <x:c r="F525" s="12" t="n">
        <x:v>46230</x:v>
      </x:c>
      <x:c r="G525" s="12" t="n">
        <x:v>46231</x:v>
      </x:c>
      <x:c r="H525" t="n">
        <x:v>141</x:v>
      </x:c>
      <x:c r="I525" t="n">
        <x:v>0</x:v>
      </x:c>
      <x:c r="J525" t="str">
        <x:v>Ninguna</x:v>
      </x:c>
      <x:c r="K525" t="str">
        <x:v>No</x:v>
      </x:c>
      <x:c r="L525" t="str">
        <x:v>Zaragoza</x:v>
      </x:c>
      <x:c r="M525" t="n">
        <x:f>IF(AND(B525&gt;=DATE(2026,7,1),B525&lt;=DATE(2026,9,30),G525&gt;=DATE(2026,7,1),G525&lt;=DATE(2026,9,30)),1,0)</x:f>
        <x:v>1</x:v>
      </x:c>
      <x:c r="N525" t="n">
        <x:f>IF(M525=1,IF(G525&lt;=F525,1,0),0)</x:f>
        <x:v>0</x:v>
      </x:c>
      <x:c r="O525" t="n">
        <x:f>IF(AND(M525=1,K525="Sí",G525&gt;F525),1,0)</x:f>
        <x:v>0</x:v>
      </x:c>
      <x:c r="P525" t="n">
        <x:f>IF(AND(M525=1,I525&gt;0),1,0)</x:f>
        <x:v>0</x:v>
      </x:c>
      <x:c r="Q525" t="n">
        <x:f>IF(AND(B525&gt;=DATE(2026,7,1),B525&lt;=DATE(2026,9,30),G525&gt;=DATE(2026,10,1),G525&lt;=DATE(2026,10,7)),1,0)</x:f>
        <x:v>0</x:v>
      </x:c>
      <x:c r="R525" t="n">
        <x:f>IF(AND(B525&gt;=DATE(2026,7,1),B525&lt;=DATE(2026,9,30),G525&gt;DATE(2026,10,7)),1,0)</x:f>
        <x:v>0</x:v>
      </x:c>
      <x:c r="S525" t="n">
        <x:f>IF(AND(M525=1,J525&lt;&gt;"Ninguna"),1,0)</x:f>
        <x:v>0</x:v>
      </x:c>
    </x:row>
    <x:row r="526">
      <x:c r="A526" t="str">
        <x:v>PED-0525</x:v>
      </x:c>
      <x:c r="B526" s="12" t="n">
        <x:v>46291</x:v>
      </x:c>
      <x:c r="C526" t="str">
        <x:v>PackPro</x:v>
      </x:c>
      <x:c r="D526" t="str">
        <x:v>Embalaje</x:v>
      </x:c>
      <x:c r="E526" s="10" t="n">
        <x:v>2426.45</x:v>
      </x:c>
      <x:c r="F526" s="12" t="n">
        <x:v>46299</x:v>
      </x:c>
      <x:c r="G526" s="12" t="n">
        <x:v>46302</x:v>
      </x:c>
      <x:c r="H526" t="n">
        <x:v>136</x:v>
      </x:c>
      <x:c r="I526" t="n">
        <x:v>0</x:v>
      </x:c>
      <x:c r="J526" t="str">
        <x:v>Ninguna</x:v>
      </x:c>
      <x:c r="K526" t="str">
        <x:v>No</x:v>
      </x:c>
      <x:c r="L526" t="str">
        <x:v>Valencia</x:v>
      </x:c>
      <x:c r="M526" t="n">
        <x:f>IF(AND(B526&gt;=DATE(2026,7,1),B526&lt;=DATE(2026,9,30),G526&gt;=DATE(2026,7,1),G526&lt;=DATE(2026,9,30)),1,0)</x:f>
        <x:v>0</x:v>
      </x:c>
      <x:c r="N526" t="n">
        <x:f>IF(M526=1,IF(G526&lt;=F526,1,0),0)</x:f>
        <x:v>0</x:v>
      </x:c>
      <x:c r="O526" t="n">
        <x:f>IF(AND(M526=1,K526="Sí",G526&gt;F526),1,0)</x:f>
        <x:v>0</x:v>
      </x:c>
      <x:c r="P526" t="n">
        <x:f>IF(AND(M526=1,I526&gt;0),1,0)</x:f>
        <x:v>0</x:v>
      </x:c>
      <x:c r="Q526" t="n">
        <x:f>IF(AND(B526&gt;=DATE(2026,7,1),B526&lt;=DATE(2026,9,30),G526&gt;=DATE(2026,10,1),G526&lt;=DATE(2026,10,7)),1,0)</x:f>
        <x:v>1</x:v>
      </x:c>
      <x:c r="R526" t="n">
        <x:f>IF(AND(B526&gt;=DATE(2026,7,1),B526&lt;=DATE(2026,9,30),G526&gt;DATE(2026,10,7)),1,0)</x:f>
        <x:v>0</x:v>
      </x:c>
      <x:c r="S526" t="n">
        <x:f>IF(AND(M526=1,J526&lt;&gt;"Ninguna"),1,0)</x:f>
        <x:v>0</x:v>
      </x:c>
    </x:row>
    <x:row r="527">
      <x:c r="A527" t="str">
        <x:v>PED-0526</x:v>
      </x:c>
      <x:c r="B527" s="12" t="n">
        <x:v>46210</x:v>
      </x:c>
      <x:c r="C527" t="str">
        <x:v>MecaParts</x:v>
      </x:c>
      <x:c r="D527" t="str">
        <x:v>Componentes mecánicos</x:v>
      </x:c>
      <x:c r="E527" s="10" t="n">
        <x:v>11923.13</x:v>
      </x:c>
      <x:c r="F527" s="12" t="n">
        <x:v>46219</x:v>
      </x:c>
      <x:c r="G527" s="12" t="n">
        <x:v>46219</x:v>
      </x:c>
      <x:c r="H527" t="n">
        <x:v>344</x:v>
      </x:c>
      <x:c r="I527" t="n">
        <x:v>0</x:v>
      </x:c>
      <x:c r="J527" t="str">
        <x:v>Ninguna</x:v>
      </x:c>
      <x:c r="K527" t="str">
        <x:v>No</x:v>
      </x:c>
      <x:c r="L527" t="str">
        <x:v>Barcelona</x:v>
      </x:c>
      <x:c r="M527" t="n">
        <x:f>IF(AND(B527&gt;=DATE(2026,7,1),B527&lt;=DATE(2026,9,30),G527&gt;=DATE(2026,7,1),G527&lt;=DATE(2026,9,30)),1,0)</x:f>
        <x:v>1</x:v>
      </x:c>
      <x:c r="N527" t="n">
        <x:f>IF(M527=1,IF(G527&lt;=F527,1,0),0)</x:f>
        <x:v>1</x:v>
      </x:c>
      <x:c r="O527" t="n">
        <x:f>IF(AND(M527=1,K527="Sí",G527&gt;F527),1,0)</x:f>
        <x:v>0</x:v>
      </x:c>
      <x:c r="P527" t="n">
        <x:f>IF(AND(M527=1,I527&gt;0),1,0)</x:f>
        <x:v>0</x:v>
      </x:c>
      <x:c r="Q527" t="n">
        <x:f>IF(AND(B527&gt;=DATE(2026,7,1),B527&lt;=DATE(2026,9,30),G527&gt;=DATE(2026,10,1),G527&lt;=DATE(2026,10,7)),1,0)</x:f>
        <x:v>0</x:v>
      </x:c>
      <x:c r="R527" t="n">
        <x:f>IF(AND(B527&gt;=DATE(2026,7,1),B527&lt;=DATE(2026,9,30),G527&gt;DATE(2026,10,7)),1,0)</x:f>
        <x:v>0</x:v>
      </x:c>
      <x:c r="S527" t="n">
        <x:f>IF(AND(M527=1,J527&lt;&gt;"Ninguna"),1,0)</x:f>
        <x:v>0</x:v>
      </x:c>
    </x:row>
    <x:row r="528">
      <x:c r="A528" t="str">
        <x:v>PED-0527</x:v>
      </x:c>
      <x:c r="B528" s="12" t="n">
        <x:v>46281</x:v>
      </x:c>
      <x:c r="C528" t="str">
        <x:v>MetalNova</x:v>
      </x:c>
      <x:c r="D528" t="str">
        <x:v>Materia prima</x:v>
      </x:c>
      <x:c r="E528" s="10" t="n">
        <x:v>2479.97</x:v>
      </x:c>
      <x:c r="F528" s="12" t="n">
        <x:v>46290</x:v>
      </x:c>
      <x:c r="G528" s="12" t="n">
        <x:v>46288</x:v>
      </x:c>
      <x:c r="H528" t="n">
        <x:v>113</x:v>
      </x:c>
      <x:c r="I528" t="n">
        <x:v>0</x:v>
      </x:c>
      <x:c r="J528" t="str">
        <x:v>Ninguna</x:v>
      </x:c>
      <x:c r="K528" t="str">
        <x:v>No</x:v>
      </x:c>
      <x:c r="L528" t="str">
        <x:v>Valencia</x:v>
      </x:c>
      <x:c r="M528" t="n">
        <x:f>IF(AND(B528&gt;=DATE(2026,7,1),B528&lt;=DATE(2026,9,30),G528&gt;=DATE(2026,7,1),G528&lt;=DATE(2026,9,30)),1,0)</x:f>
        <x:v>1</x:v>
      </x:c>
      <x:c r="N528" t="n">
        <x:f>IF(M528=1,IF(G528&lt;=F528,1,0),0)</x:f>
        <x:v>1</x:v>
      </x:c>
      <x:c r="O528" t="n">
        <x:f>IF(AND(M528=1,K528="Sí",G528&gt;F528),1,0)</x:f>
        <x:v>0</x:v>
      </x:c>
      <x:c r="P528" t="n">
        <x:f>IF(AND(M528=1,I528&gt;0),1,0)</x:f>
        <x:v>0</x:v>
      </x:c>
      <x:c r="Q528" t="n">
        <x:f>IF(AND(B528&gt;=DATE(2026,7,1),B528&lt;=DATE(2026,9,30),G528&gt;=DATE(2026,10,1),G528&lt;=DATE(2026,10,7)),1,0)</x:f>
        <x:v>0</x:v>
      </x:c>
      <x:c r="R528" t="n">
        <x:f>IF(AND(B528&gt;=DATE(2026,7,1),B528&lt;=DATE(2026,9,30),G528&gt;DATE(2026,10,7)),1,0)</x:f>
        <x:v>0</x:v>
      </x:c>
      <x:c r="S528" t="n">
        <x:f>IF(AND(M528=1,J528&lt;&gt;"Ninguna"),1,0)</x:f>
        <x:v>0</x:v>
      </x:c>
    </x:row>
    <x:row r="529">
      <x:c r="A529" t="str">
        <x:v>PED-0528</x:v>
      </x:c>
      <x:c r="B529" s="12" t="n">
        <x:v>46209</x:v>
      </x:c>
      <x:c r="C529" t="str">
        <x:v>PackPro</x:v>
      </x:c>
      <x:c r="D529" t="str">
        <x:v>Embalaje</x:v>
      </x:c>
      <x:c r="E529" s="10" t="n">
        <x:v>6268.26</x:v>
      </x:c>
      <x:c r="F529" s="12" t="n">
        <x:v>46215</x:v>
      </x:c>
      <x:c r="G529" s="12" t="n">
        <x:v>46216</x:v>
      </x:c>
      <x:c r="H529" t="n">
        <x:v>354</x:v>
      </x:c>
      <x:c r="I529" t="n">
        <x:v>0</x:v>
      </x:c>
      <x:c r="J529" t="str">
        <x:v>Ninguna</x:v>
      </x:c>
      <x:c r="K529" t="str">
        <x:v>No</x:v>
      </x:c>
      <x:c r="L529" t="str">
        <x:v>Barcelona</x:v>
      </x:c>
      <x:c r="M529" t="n">
        <x:f>IF(AND(B529&gt;=DATE(2026,7,1),B529&lt;=DATE(2026,9,30),G529&gt;=DATE(2026,7,1),G529&lt;=DATE(2026,9,30)),1,0)</x:f>
        <x:v>1</x:v>
      </x:c>
      <x:c r="N529" t="n">
        <x:f>IF(M529=1,IF(G529&lt;=F529,1,0),0)</x:f>
        <x:v>0</x:v>
      </x:c>
      <x:c r="O529" t="n">
        <x:f>IF(AND(M529=1,K529="Sí",G529&gt;F529),1,0)</x:f>
        <x:v>0</x:v>
      </x:c>
      <x:c r="P529" t="n">
        <x:f>IF(AND(M529=1,I529&gt;0),1,0)</x:f>
        <x:v>0</x:v>
      </x:c>
      <x:c r="Q529" t="n">
        <x:f>IF(AND(B529&gt;=DATE(2026,7,1),B529&lt;=DATE(2026,9,30),G529&gt;=DATE(2026,10,1),G529&lt;=DATE(2026,10,7)),1,0)</x:f>
        <x:v>0</x:v>
      </x:c>
      <x:c r="R529" t="n">
        <x:f>IF(AND(B529&gt;=DATE(2026,7,1),B529&lt;=DATE(2026,9,30),G529&gt;DATE(2026,10,7)),1,0)</x:f>
        <x:v>0</x:v>
      </x:c>
      <x:c r="S529" t="n">
        <x:f>IF(AND(M529=1,J529&lt;&gt;"Ninguna"),1,0)</x:f>
        <x:v>0</x:v>
      </x:c>
    </x:row>
    <x:row r="530">
      <x:c r="A530" t="str">
        <x:v>PED-0529</x:v>
      </x:c>
      <x:c r="B530" s="12" t="n">
        <x:v>46284</x:v>
      </x:c>
      <x:c r="C530" t="str">
        <x:v>MetalNova</x:v>
      </x:c>
      <x:c r="D530" t="str">
        <x:v>Materia prima</x:v>
      </x:c>
      <x:c r="E530" s="10" t="n">
        <x:v>3185.71</x:v>
      </x:c>
      <x:c r="F530" s="12" t="n">
        <x:v>46293</x:v>
      </x:c>
      <x:c r="G530" s="12" t="n">
        <x:v>46299</x:v>
      </x:c>
      <x:c r="H530" t="n">
        <x:v>238</x:v>
      </x:c>
      <x:c r="I530" t="n">
        <x:v>0</x:v>
      </x:c>
      <x:c r="J530" t="str">
        <x:v>Retraso</x:v>
      </x:c>
      <x:c r="K530" t="str">
        <x:v>No</x:v>
      </x:c>
      <x:c r="L530" t="str">
        <x:v>Zaragoza</x:v>
      </x:c>
      <x:c r="M530" t="n">
        <x:f>IF(AND(B530&gt;=DATE(2026,7,1),B530&lt;=DATE(2026,9,30),G530&gt;=DATE(2026,7,1),G530&lt;=DATE(2026,9,30)),1,0)</x:f>
        <x:v>0</x:v>
      </x:c>
      <x:c r="N530" t="n">
        <x:f>IF(M530=1,IF(G530&lt;=F530,1,0),0)</x:f>
        <x:v>0</x:v>
      </x:c>
      <x:c r="O530" t="n">
        <x:f>IF(AND(M530=1,K530="Sí",G530&gt;F530),1,0)</x:f>
        <x:v>0</x:v>
      </x:c>
      <x:c r="P530" t="n">
        <x:f>IF(AND(M530=1,I530&gt;0),1,0)</x:f>
        <x:v>0</x:v>
      </x:c>
      <x:c r="Q530" t="n">
        <x:f>IF(AND(B530&gt;=DATE(2026,7,1),B530&lt;=DATE(2026,9,30),G530&gt;=DATE(2026,10,1),G530&lt;=DATE(2026,10,7)),1,0)</x:f>
        <x:v>1</x:v>
      </x:c>
      <x:c r="R530" t="n">
        <x:f>IF(AND(B530&gt;=DATE(2026,7,1),B530&lt;=DATE(2026,9,30),G530&gt;DATE(2026,10,7)),1,0)</x:f>
        <x:v>0</x:v>
      </x:c>
      <x:c r="S530" t="n">
        <x:f>IF(AND(M530=1,J530&lt;&gt;"Ninguna"),1,0)</x:f>
        <x:v>0</x:v>
      </x:c>
    </x:row>
    <x:row r="531">
      <x:c r="A531" t="str">
        <x:v>PED-0530</x:v>
      </x:c>
      <x:c r="B531" s="12" t="n">
        <x:v>46209</x:v>
      </x:c>
      <x:c r="C531" t="str">
        <x:v>PackPro</x:v>
      </x:c>
      <x:c r="D531" t="str">
        <x:v>Embalaje</x:v>
      </x:c>
      <x:c r="E531" s="10" t="n">
        <x:v>8766.48</x:v>
      </x:c>
      <x:c r="F531" s="12" t="n">
        <x:v>46216</x:v>
      </x:c>
      <x:c r="G531" s="12" t="n">
        <x:v>46214</x:v>
      </x:c>
      <x:c r="H531" t="n">
        <x:v>358</x:v>
      </x:c>
      <x:c r="I531" t="n">
        <x:v>0</x:v>
      </x:c>
      <x:c r="J531" t="str">
        <x:v>Ninguna</x:v>
      </x:c>
      <x:c r="K531" t="str">
        <x:v>No</x:v>
      </x:c>
      <x:c r="L531" t="str">
        <x:v>Barcelona</x:v>
      </x:c>
      <x:c r="M531" t="n">
        <x:f>IF(AND(B531&gt;=DATE(2026,7,1),B531&lt;=DATE(2026,9,30),G531&gt;=DATE(2026,7,1),G531&lt;=DATE(2026,9,30)),1,0)</x:f>
        <x:v>1</x:v>
      </x:c>
      <x:c r="N531" t="n">
        <x:f>IF(M531=1,IF(G531&lt;=F531,1,0),0)</x:f>
        <x:v>1</x:v>
      </x:c>
      <x:c r="O531" t="n">
        <x:f>IF(AND(M531=1,K531="Sí",G531&gt;F531),1,0)</x:f>
        <x:v>0</x:v>
      </x:c>
      <x:c r="P531" t="n">
        <x:f>IF(AND(M531=1,I531&gt;0),1,0)</x:f>
        <x:v>0</x:v>
      </x:c>
      <x:c r="Q531" t="n">
        <x:f>IF(AND(B531&gt;=DATE(2026,7,1),B531&lt;=DATE(2026,9,30),G531&gt;=DATE(2026,10,1),G531&lt;=DATE(2026,10,7)),1,0)</x:f>
        <x:v>0</x:v>
      </x:c>
      <x:c r="R531" t="n">
        <x:f>IF(AND(B531&gt;=DATE(2026,7,1),B531&lt;=DATE(2026,9,30),G531&gt;DATE(2026,10,7)),1,0)</x:f>
        <x:v>0</x:v>
      </x:c>
      <x:c r="S531" t="n">
        <x:f>IF(AND(M531=1,J531&lt;&gt;"Ninguna"),1,0)</x:f>
        <x:v>0</x:v>
      </x:c>
    </x:row>
    <x:row r="532">
      <x:c r="A532" t="str">
        <x:v>PED-0531</x:v>
      </x:c>
      <x:c r="B532" s="12" t="n">
        <x:v>46205</x:v>
      </x:c>
      <x:c r="C532" t="str">
        <x:v>MetalNova</x:v>
      </x:c>
      <x:c r="D532" t="str">
        <x:v>Componentes mecánicos</x:v>
      </x:c>
      <x:c r="E532" s="10" t="n">
        <x:v>4541.89</x:v>
      </x:c>
      <x:c r="F532" s="12" t="n">
        <x:v>46214</x:v>
      </x:c>
      <x:c r="G532" s="12" t="n">
        <x:v>46217</x:v>
      </x:c>
      <x:c r="H532" t="n">
        <x:v>132</x:v>
      </x:c>
      <x:c r="I532" t="n">
        <x:v>7</x:v>
      </x:c>
      <x:c r="J532" t="str">
        <x:v>Cantidad incorrecta</x:v>
      </x:c>
      <x:c r="K532" t="str">
        <x:v>Sí</x:v>
      </x:c>
      <x:c r="L532" t="str">
        <x:v>Barcelona</x:v>
      </x:c>
      <x:c r="M532" t="n">
        <x:f>IF(AND(B532&gt;=DATE(2026,7,1),B532&lt;=DATE(2026,9,30),G532&gt;=DATE(2026,7,1),G532&lt;=DATE(2026,9,30)),1,0)</x:f>
        <x:v>1</x:v>
      </x:c>
      <x:c r="N532" t="n">
        <x:f>IF(M532=1,IF(G532&lt;=F532,1,0),0)</x:f>
        <x:v>0</x:v>
      </x:c>
      <x:c r="O532" t="n">
        <x:f>IF(AND(M532=1,K532="Sí",G532&gt;F532),1,0)</x:f>
        <x:v>1</x:v>
      </x:c>
      <x:c r="P532" t="n">
        <x:f>IF(AND(M532=1,I532&gt;0),1,0)</x:f>
        <x:v>1</x:v>
      </x:c>
      <x:c r="Q532" t="n">
        <x:f>IF(AND(B532&gt;=DATE(2026,7,1),B532&lt;=DATE(2026,9,30),G532&gt;=DATE(2026,10,1),G532&lt;=DATE(2026,10,7)),1,0)</x:f>
        <x:v>0</x:v>
      </x:c>
      <x:c r="R532" t="n">
        <x:f>IF(AND(B532&gt;=DATE(2026,7,1),B532&lt;=DATE(2026,9,30),G532&gt;DATE(2026,10,7)),1,0)</x:f>
        <x:v>0</x:v>
      </x:c>
      <x:c r="S532" t="n">
        <x:f>IF(AND(M532=1,J532&lt;&gt;"Ninguna"),1,0)</x:f>
        <x:v>1</x:v>
      </x:c>
    </x:row>
    <x:row r="533">
      <x:c r="A533" t="str">
        <x:v>PED-0532</x:v>
      </x:c>
      <x:c r="B533" s="12" t="n">
        <x:v>46281</x:v>
      </x:c>
      <x:c r="C533" t="str">
        <x:v>MetalNova</x:v>
      </x:c>
      <x:c r="D533" t="str">
        <x:v>Materia prima</x:v>
      </x:c>
      <x:c r="E533" s="10" t="n">
        <x:v>17813.58</x:v>
      </x:c>
      <x:c r="F533" s="12" t="n">
        <x:v>46292</x:v>
      </x:c>
      <x:c r="G533" s="12" t="n">
        <x:v>46292</x:v>
      </x:c>
      <x:c r="H533" t="n">
        <x:v>367</x:v>
      </x:c>
      <x:c r="I533" t="n">
        <x:v>0</x:v>
      </x:c>
      <x:c r="J533" t="str">
        <x:v>Ninguna</x:v>
      </x:c>
      <x:c r="K533" t="str">
        <x:v>No</x:v>
      </x:c>
      <x:c r="L533" t="str">
        <x:v>Zaragoza</x:v>
      </x:c>
      <x:c r="M533" t="n">
        <x:f>IF(AND(B533&gt;=DATE(2026,7,1),B533&lt;=DATE(2026,9,30),G533&gt;=DATE(2026,7,1),G533&lt;=DATE(2026,9,30)),1,0)</x:f>
        <x:v>1</x:v>
      </x:c>
      <x:c r="N533" t="n">
        <x:f>IF(M533=1,IF(G533&lt;=F533,1,0),0)</x:f>
        <x:v>1</x:v>
      </x:c>
      <x:c r="O533" t="n">
        <x:f>IF(AND(M533=1,K533="Sí",G533&gt;F533),1,0)</x:f>
        <x:v>0</x:v>
      </x:c>
      <x:c r="P533" t="n">
        <x:f>IF(AND(M533=1,I533&gt;0),1,0)</x:f>
        <x:v>0</x:v>
      </x:c>
      <x:c r="Q533" t="n">
        <x:f>IF(AND(B533&gt;=DATE(2026,7,1),B533&lt;=DATE(2026,9,30),G533&gt;=DATE(2026,10,1),G533&lt;=DATE(2026,10,7)),1,0)</x:f>
        <x:v>0</x:v>
      </x:c>
      <x:c r="R533" t="n">
        <x:f>IF(AND(B533&gt;=DATE(2026,7,1),B533&lt;=DATE(2026,9,30),G533&gt;DATE(2026,10,7)),1,0)</x:f>
        <x:v>0</x:v>
      </x:c>
      <x:c r="S533" t="n">
        <x:f>IF(AND(M533=1,J533&lt;&gt;"Ninguna"),1,0)</x:f>
        <x:v>0</x:v>
      </x:c>
    </x:row>
    <x:row r="534">
      <x:c r="A534" t="str">
        <x:v>PED-0533</x:v>
      </x:c>
      <x:c r="B534" s="12" t="n">
        <x:v>46208</x:v>
      </x:c>
      <x:c r="C534" t="str">
        <x:v>MecaParts</x:v>
      </x:c>
      <x:c r="D534" t="str">
        <x:v>Componentes mecánicos</x:v>
      </x:c>
      <x:c r="E534" s="10" t="n">
        <x:v>967.05</x:v>
      </x:c>
      <x:c r="F534" s="12" t="n">
        <x:v>46218</x:v>
      </x:c>
      <x:c r="G534" s="12" t="n">
        <x:v>46221</x:v>
      </x:c>
      <x:c r="H534" t="n">
        <x:v>114</x:v>
      </x:c>
      <x:c r="I534" t="n">
        <x:v>0</x:v>
      </x:c>
      <x:c r="J534" t="str">
        <x:v>Ninguna</x:v>
      </x:c>
      <x:c r="K534" t="str">
        <x:v>No</x:v>
      </x:c>
      <x:c r="L534" t="str">
        <x:v>Barcelona</x:v>
      </x:c>
      <x:c r="M534" t="n">
        <x:f>IF(AND(B534&gt;=DATE(2026,7,1),B534&lt;=DATE(2026,9,30),G534&gt;=DATE(2026,7,1),G534&lt;=DATE(2026,9,30)),1,0)</x:f>
        <x:v>1</x:v>
      </x:c>
      <x:c r="N534" t="n">
        <x:f>IF(M534=1,IF(G534&lt;=F534,1,0),0)</x:f>
        <x:v>0</x:v>
      </x:c>
      <x:c r="O534" t="n">
        <x:f>IF(AND(M534=1,K534="Sí",G534&gt;F534),1,0)</x:f>
        <x:v>0</x:v>
      </x:c>
      <x:c r="P534" t="n">
        <x:f>IF(AND(M534=1,I534&gt;0),1,0)</x:f>
        <x:v>0</x:v>
      </x:c>
      <x:c r="Q534" t="n">
        <x:f>IF(AND(B534&gt;=DATE(2026,7,1),B534&lt;=DATE(2026,9,30),G534&gt;=DATE(2026,10,1),G534&lt;=DATE(2026,10,7)),1,0)</x:f>
        <x:v>0</x:v>
      </x:c>
      <x:c r="R534" t="n">
        <x:f>IF(AND(B534&gt;=DATE(2026,7,1),B534&lt;=DATE(2026,9,30),G534&gt;DATE(2026,10,7)),1,0)</x:f>
        <x:v>0</x:v>
      </x:c>
      <x:c r="S534" t="n">
        <x:f>IF(AND(M534=1,J534&lt;&gt;"Ninguna"),1,0)</x:f>
        <x:v>0</x:v>
      </x:c>
    </x:row>
    <x:row r="535">
      <x:c r="A535" t="str">
        <x:v>PED-0534</x:v>
      </x:c>
      <x:c r="B535" s="12" t="n">
        <x:v>46252</x:v>
      </x:c>
      <x:c r="C535" t="str">
        <x:v>MecaParts</x:v>
      </x:c>
      <x:c r="D535" t="str">
        <x:v>Componentes mecánicos</x:v>
      </x:c>
      <x:c r="E535" s="10" t="n">
        <x:v>7699.7</x:v>
      </x:c>
      <x:c r="F535" s="12" t="n">
        <x:v>46260</x:v>
      </x:c>
      <x:c r="G535" s="12" t="n">
        <x:v>46258</x:v>
      </x:c>
      <x:c r="H535" t="n">
        <x:v>183</x:v>
      </x:c>
      <x:c r="I535" t="n">
        <x:v>0</x:v>
      </x:c>
      <x:c r="J535" t="str">
        <x:v>Ninguna</x:v>
      </x:c>
      <x:c r="K535" t="str">
        <x:v>No</x:v>
      </x:c>
      <x:c r="L535" t="str">
        <x:v>Valencia</x:v>
      </x:c>
      <x:c r="M535" t="n">
        <x:f>IF(AND(B535&gt;=DATE(2026,7,1),B535&lt;=DATE(2026,9,30),G535&gt;=DATE(2026,7,1),G535&lt;=DATE(2026,9,30)),1,0)</x:f>
        <x:v>1</x:v>
      </x:c>
      <x:c r="N535" t="n">
        <x:f>IF(M535=1,IF(G535&lt;=F535,1,0),0)</x:f>
        <x:v>1</x:v>
      </x:c>
      <x:c r="O535" t="n">
        <x:f>IF(AND(M535=1,K535="Sí",G535&gt;F535),1,0)</x:f>
        <x:v>0</x:v>
      </x:c>
      <x:c r="P535" t="n">
        <x:f>IF(AND(M535=1,I535&gt;0),1,0)</x:f>
        <x:v>0</x:v>
      </x:c>
      <x:c r="Q535" t="n">
        <x:f>IF(AND(B535&gt;=DATE(2026,7,1),B535&lt;=DATE(2026,9,30),G535&gt;=DATE(2026,10,1),G535&lt;=DATE(2026,10,7)),1,0)</x:f>
        <x:v>0</x:v>
      </x:c>
      <x:c r="R535" t="n">
        <x:f>IF(AND(B535&gt;=DATE(2026,7,1),B535&lt;=DATE(2026,9,30),G535&gt;DATE(2026,10,7)),1,0)</x:f>
        <x:v>0</x:v>
      </x:c>
      <x:c r="S535" t="n">
        <x:f>IF(AND(M535=1,J535&lt;&gt;"Ninguna"),1,0)</x:f>
        <x:v>0</x:v>
      </x:c>
    </x:row>
    <x:row r="536">
      <x:c r="A536" t="str">
        <x:v>PED-0535</x:v>
      </x:c>
      <x:c r="B536" s="12" t="n">
        <x:v>46294</x:v>
      </x:c>
      <x:c r="C536" t="str">
        <x:v>MetalNova</x:v>
      </x:c>
      <x:c r="D536" t="str">
        <x:v>Materia prima</x:v>
      </x:c>
      <x:c r="E536" s="10" t="n">
        <x:v>11122.04</x:v>
      </x:c>
      <x:c r="F536" s="12" t="n">
        <x:v>46306</x:v>
      </x:c>
      <x:c r="G536" s="12" t="n">
        <x:v>46306</x:v>
      </x:c>
      <x:c r="H536" t="n">
        <x:v>239</x:v>
      </x:c>
      <x:c r="I536" t="n">
        <x:v>0</x:v>
      </x:c>
      <x:c r="J536" t="str">
        <x:v>Ninguna</x:v>
      </x:c>
      <x:c r="K536" t="str">
        <x:v>Sí</x:v>
      </x:c>
      <x:c r="L536" t="str">
        <x:v>Barcelona</x:v>
      </x:c>
      <x:c r="M536" t="n">
        <x:f>IF(AND(B536&gt;=DATE(2026,7,1),B536&lt;=DATE(2026,9,30),G536&gt;=DATE(2026,7,1),G536&lt;=DATE(2026,9,30)),1,0)</x:f>
        <x:v>0</x:v>
      </x:c>
      <x:c r="N536" t="n">
        <x:f>IF(M536=1,IF(G536&lt;=F536,1,0),0)</x:f>
        <x:v>0</x:v>
      </x:c>
      <x:c r="O536" t="n">
        <x:f>IF(AND(M536=1,K536="Sí",G536&gt;F536),1,0)</x:f>
        <x:v>0</x:v>
      </x:c>
      <x:c r="P536" t="n">
        <x:f>IF(AND(M536=1,I536&gt;0),1,0)</x:f>
        <x:v>0</x:v>
      </x:c>
      <x:c r="Q536" t="n">
        <x:f>IF(AND(B536&gt;=DATE(2026,7,1),B536&lt;=DATE(2026,9,30),G536&gt;=DATE(2026,10,1),G536&lt;=DATE(2026,10,7)),1,0)</x:f>
        <x:v>0</x:v>
      </x:c>
      <x:c r="R536" t="n">
        <x:f>IF(AND(B536&gt;=DATE(2026,7,1),B536&lt;=DATE(2026,9,30),G536&gt;DATE(2026,10,7)),1,0)</x:f>
        <x:v>1</x:v>
      </x:c>
      <x:c r="S536" t="n">
        <x:f>IF(AND(M536=1,J536&lt;&gt;"Ninguna"),1,0)</x:f>
        <x:v>0</x:v>
      </x:c>
    </x:row>
    <x:row r="537">
      <x:c r="A537" t="str">
        <x:v>PED-0536</x:v>
      </x:c>
      <x:c r="B537" s="12" t="n">
        <x:v>46292</x:v>
      </x:c>
      <x:c r="C537" t="str">
        <x:v>OfiPlus</x:v>
      </x:c>
      <x:c r="D537" t="str">
        <x:v>Consumibles</x:v>
      </x:c>
      <x:c r="E537" s="10" t="n">
        <x:v>845.64</x:v>
      </x:c>
      <x:c r="F537" s="12" t="n">
        <x:v>46296</x:v>
      </x:c>
      <x:c r="G537" s="12" t="n">
        <x:v>46299</x:v>
      </x:c>
      <x:c r="H537" t="n">
        <x:v>51</x:v>
      </x:c>
      <x:c r="I537" t="n">
        <x:v>0</x:v>
      </x:c>
      <x:c r="J537" t="str">
        <x:v>Ninguna</x:v>
      </x:c>
      <x:c r="K537" t="str">
        <x:v>No</x:v>
      </x:c>
      <x:c r="L537" t="str">
        <x:v>Barcelona</x:v>
      </x:c>
      <x:c r="M537" t="n">
        <x:f>IF(AND(B537&gt;=DATE(2026,7,1),B537&lt;=DATE(2026,9,30),G537&gt;=DATE(2026,7,1),G537&lt;=DATE(2026,9,30)),1,0)</x:f>
        <x:v>0</x:v>
      </x:c>
      <x:c r="N537" t="n">
        <x:f>IF(M537=1,IF(G537&lt;=F537,1,0),0)</x:f>
        <x:v>0</x:v>
      </x:c>
      <x:c r="O537" t="n">
        <x:f>IF(AND(M537=1,K537="Sí",G537&gt;F537),1,0)</x:f>
        <x:v>0</x:v>
      </x:c>
      <x:c r="P537" t="n">
        <x:f>IF(AND(M537=1,I537&gt;0),1,0)</x:f>
        <x:v>0</x:v>
      </x:c>
      <x:c r="Q537" t="n">
        <x:f>IF(AND(B537&gt;=DATE(2026,7,1),B537&lt;=DATE(2026,9,30),G537&gt;=DATE(2026,10,1),G537&lt;=DATE(2026,10,7)),1,0)</x:f>
        <x:v>1</x:v>
      </x:c>
      <x:c r="R537" t="n">
        <x:f>IF(AND(B537&gt;=DATE(2026,7,1),B537&lt;=DATE(2026,9,30),G537&gt;DATE(2026,10,7)),1,0)</x:f>
        <x:v>0</x:v>
      </x:c>
      <x:c r="S537" t="n">
        <x:f>IF(AND(M537=1,J537&lt;&gt;"Ninguna"),1,0)</x:f>
        <x:v>0</x:v>
      </x:c>
    </x:row>
    <x:row r="538">
      <x:c r="A538" t="str">
        <x:v>PED-0537</x:v>
      </x:c>
      <x:c r="B538" s="12" t="n">
        <x:v>46227</x:v>
      </x:c>
      <x:c r="C538" t="str">
        <x:v>ElectraSupply</x:v>
      </x:c>
      <x:c r="D538" t="str">
        <x:v>Componentes eléctricos</x:v>
      </x:c>
      <x:c r="E538" s="10" t="n">
        <x:v>6789.98</x:v>
      </x:c>
      <x:c r="F538" s="12" t="n">
        <x:v>46239</x:v>
      </x:c>
      <x:c r="G538" s="12" t="n">
        <x:v>46244</x:v>
      </x:c>
      <x:c r="H538" t="n">
        <x:v>273</x:v>
      </x:c>
      <x:c r="I538" t="n">
        <x:v>0</x:v>
      </x:c>
      <x:c r="J538" t="str">
        <x:v>Ninguna</x:v>
      </x:c>
      <x:c r="K538" t="str">
        <x:v>No</x:v>
      </x:c>
      <x:c r="L538" t="str">
        <x:v>Zaragoza</x:v>
      </x:c>
      <x:c r="M538" t="n">
        <x:f>IF(AND(B538&gt;=DATE(2026,7,1),B538&lt;=DATE(2026,9,30),G538&gt;=DATE(2026,7,1),G538&lt;=DATE(2026,9,30)),1,0)</x:f>
        <x:v>1</x:v>
      </x:c>
      <x:c r="N538" t="n">
        <x:f>IF(M538=1,IF(G538&lt;=F538,1,0),0)</x:f>
        <x:v>0</x:v>
      </x:c>
      <x:c r="O538" t="n">
        <x:f>IF(AND(M538=1,K538="Sí",G538&gt;F538),1,0)</x:f>
        <x:v>0</x:v>
      </x:c>
      <x:c r="P538" t="n">
        <x:f>IF(AND(M538=1,I538&gt;0),1,0)</x:f>
        <x:v>0</x:v>
      </x:c>
      <x:c r="Q538" t="n">
        <x:f>IF(AND(B538&gt;=DATE(2026,7,1),B538&lt;=DATE(2026,9,30),G538&gt;=DATE(2026,10,1),G538&lt;=DATE(2026,10,7)),1,0)</x:f>
        <x:v>0</x:v>
      </x:c>
      <x:c r="R538" t="n">
        <x:f>IF(AND(B538&gt;=DATE(2026,7,1),B538&lt;=DATE(2026,9,30),G538&gt;DATE(2026,10,7)),1,0)</x:f>
        <x:v>0</x:v>
      </x:c>
      <x:c r="S538" t="n">
        <x:f>IF(AND(M538=1,J538&lt;&gt;"Ninguna"),1,0)</x:f>
        <x:v>0</x:v>
      </x:c>
    </x:row>
    <x:row r="539">
      <x:c r="A539" t="str">
        <x:v>PED-0538</x:v>
      </x:c>
      <x:c r="B539" s="12" t="n">
        <x:v>46289</x:v>
      </x:c>
      <x:c r="C539" t="str">
        <x:v>MetalNova</x:v>
      </x:c>
      <x:c r="D539" t="str">
        <x:v>Materia prima</x:v>
      </x:c>
      <x:c r="E539" s="10" t="n">
        <x:v>9583.55</x:v>
      </x:c>
      <x:c r="F539" s="12" t="n">
        <x:v>46300</x:v>
      </x:c>
      <x:c r="G539" s="12" t="n">
        <x:v>46301</x:v>
      </x:c>
      <x:c r="H539" t="n">
        <x:v>361</x:v>
      </x:c>
      <x:c r="I539" t="n">
        <x:v>52</x:v>
      </x:c>
      <x:c r="J539" t="str">
        <x:v>Calidad</x:v>
      </x:c>
      <x:c r="K539" t="str">
        <x:v>No</x:v>
      </x:c>
      <x:c r="L539" t="str">
        <x:v>Zaragoza</x:v>
      </x:c>
      <x:c r="M539" t="n">
        <x:f>IF(AND(B539&gt;=DATE(2026,7,1),B539&lt;=DATE(2026,9,30),G539&gt;=DATE(2026,7,1),G539&lt;=DATE(2026,9,30)),1,0)</x:f>
        <x:v>0</x:v>
      </x:c>
      <x:c r="N539" t="n">
        <x:f>IF(M539=1,IF(G539&lt;=F539,1,0),0)</x:f>
        <x:v>0</x:v>
      </x:c>
      <x:c r="O539" t="n">
        <x:f>IF(AND(M539=1,K539="Sí",G539&gt;F539),1,0)</x:f>
        <x:v>0</x:v>
      </x:c>
      <x:c r="P539" t="n">
        <x:f>IF(AND(M539=1,I539&gt;0),1,0)</x:f>
        <x:v>0</x:v>
      </x:c>
      <x:c r="Q539" t="n">
        <x:f>IF(AND(B539&gt;=DATE(2026,7,1),B539&lt;=DATE(2026,9,30),G539&gt;=DATE(2026,10,1),G539&lt;=DATE(2026,10,7)),1,0)</x:f>
        <x:v>1</x:v>
      </x:c>
      <x:c r="R539" t="n">
        <x:f>IF(AND(B539&gt;=DATE(2026,7,1),B539&lt;=DATE(2026,9,30),G539&gt;DATE(2026,10,7)),1,0)</x:f>
        <x:v>0</x:v>
      </x:c>
      <x:c r="S539" t="n">
        <x:f>IF(AND(M539=1,J539&lt;&gt;"Ninguna"),1,0)</x:f>
        <x:v>0</x:v>
      </x:c>
    </x:row>
    <x:row r="540">
      <x:c r="A540" t="str">
        <x:v>PED-0539</x:v>
      </x:c>
      <x:c r="B540" s="12" t="n">
        <x:v>46248</x:v>
      </x:c>
      <x:c r="C540" t="str">
        <x:v>MecaParts</x:v>
      </x:c>
      <x:c r="D540" t="str">
        <x:v>Componentes mecánicos</x:v>
      </x:c>
      <x:c r="E540" s="10" t="n">
        <x:v>6991.29</x:v>
      </x:c>
      <x:c r="F540" s="12" t="n">
        <x:v>46259</x:v>
      </x:c>
      <x:c r="G540" s="12" t="n">
        <x:v>46259</x:v>
      </x:c>
      <x:c r="H540" t="n">
        <x:v>219</x:v>
      </x:c>
      <x:c r="I540" t="n">
        <x:v>31</x:v>
      </x:c>
      <x:c r="J540" t="str">
        <x:v>Calidad</x:v>
      </x:c>
      <x:c r="K540" t="str">
        <x:v>No</x:v>
      </x:c>
      <x:c r="L540" t="str">
        <x:v>Valencia</x:v>
      </x:c>
      <x:c r="M540" t="n">
        <x:f>IF(AND(B540&gt;=DATE(2026,7,1),B540&lt;=DATE(2026,9,30),G540&gt;=DATE(2026,7,1),G540&lt;=DATE(2026,9,30)),1,0)</x:f>
        <x:v>1</x:v>
      </x:c>
      <x:c r="N540" t="n">
        <x:f>IF(M540=1,IF(G540&lt;=F540,1,0),0)</x:f>
        <x:v>1</x:v>
      </x:c>
      <x:c r="O540" t="n">
        <x:f>IF(AND(M540=1,K540="Sí",G540&gt;F540),1,0)</x:f>
        <x:v>0</x:v>
      </x:c>
      <x:c r="P540" t="n">
        <x:f>IF(AND(M540=1,I540&gt;0),1,0)</x:f>
        <x:v>1</x:v>
      </x:c>
      <x:c r="Q540" t="n">
        <x:f>IF(AND(B540&gt;=DATE(2026,7,1),B540&lt;=DATE(2026,9,30),G540&gt;=DATE(2026,10,1),G540&lt;=DATE(2026,10,7)),1,0)</x:f>
        <x:v>0</x:v>
      </x:c>
      <x:c r="R540" t="n">
        <x:f>IF(AND(B540&gt;=DATE(2026,7,1),B540&lt;=DATE(2026,9,30),G540&gt;DATE(2026,10,7)),1,0)</x:f>
        <x:v>0</x:v>
      </x:c>
      <x:c r="S540" t="n">
        <x:f>IF(AND(M540=1,J540&lt;&gt;"Ninguna"),1,0)</x:f>
        <x:v>1</x:v>
      </x:c>
    </x:row>
    <x:row r="541">
      <x:c r="A541" t="str">
        <x:v>PED-0540</x:v>
      </x:c>
      <x:c r="B541" s="12" t="n">
        <x:v>46238</x:v>
      </x:c>
      <x:c r="C541" t="str">
        <x:v>MetalNova</x:v>
      </x:c>
      <x:c r="D541" t="str">
        <x:v>Materia prima</x:v>
      </x:c>
      <x:c r="E541" s="10" t="n">
        <x:v>9713.75</x:v>
      </x:c>
      <x:c r="F541" s="12" t="n">
        <x:v>46248</x:v>
      </x:c>
      <x:c r="G541" s="12" t="n">
        <x:v>46246</x:v>
      </x:c>
      <x:c r="H541" t="n">
        <x:v>306</x:v>
      </x:c>
      <x:c r="I541" t="n">
        <x:v>0</x:v>
      </x:c>
      <x:c r="J541" t="str">
        <x:v>Ninguna</x:v>
      </x:c>
      <x:c r="K541" t="str">
        <x:v>No</x:v>
      </x:c>
      <x:c r="L541" t="str">
        <x:v>Zaragoza</x:v>
      </x:c>
      <x:c r="M541" t="n">
        <x:f>IF(AND(B541&gt;=DATE(2026,7,1),B541&lt;=DATE(2026,9,30),G541&gt;=DATE(2026,7,1),G541&lt;=DATE(2026,9,30)),1,0)</x:f>
        <x:v>1</x:v>
      </x:c>
      <x:c r="N541" t="n">
        <x:f>IF(M541=1,IF(G541&lt;=F541,1,0),0)</x:f>
        <x:v>1</x:v>
      </x:c>
      <x:c r="O541" t="n">
        <x:f>IF(AND(M541=1,K541="Sí",G541&gt;F541),1,0)</x:f>
        <x:v>0</x:v>
      </x:c>
      <x:c r="P541" t="n">
        <x:f>IF(AND(M541=1,I541&gt;0),1,0)</x:f>
        <x:v>0</x:v>
      </x:c>
      <x:c r="Q541" t="n">
        <x:f>IF(AND(B541&gt;=DATE(2026,7,1),B541&lt;=DATE(2026,9,30),G541&gt;=DATE(2026,10,1),G541&lt;=DATE(2026,10,7)),1,0)</x:f>
        <x:v>0</x:v>
      </x:c>
      <x:c r="R541" t="n">
        <x:f>IF(AND(B541&gt;=DATE(2026,7,1),B541&lt;=DATE(2026,9,30),G541&gt;DATE(2026,10,7)),1,0)</x:f>
        <x:v>0</x:v>
      </x:c>
      <x:c r="S541" t="n">
        <x:f>IF(AND(M541=1,J541&lt;&gt;"Ninguna"),1,0)</x:f>
        <x:v>0</x:v>
      </x:c>
    </x:row>
    <x:row r="542">
      <x:c r="A542" t="str">
        <x:v>PED-0541</x:v>
      </x:c>
      <x:c r="B542" s="12" t="n">
        <x:v>46295</x:v>
      </x:c>
      <x:c r="C542" t="str">
        <x:v>OfiPlus</x:v>
      </x:c>
      <x:c r="D542" t="str">
        <x:v>Consumibles</x:v>
      </x:c>
      <x:c r="E542" s="10" t="n">
        <x:v>7506.7</x:v>
      </x:c>
      <x:c r="F542" s="12" t="n">
        <x:v>46299</x:v>
      </x:c>
      <x:c r="G542" s="12" t="n">
        <x:v>46303</x:v>
      </x:c>
      <x:c r="H542" t="n">
        <x:v>268</x:v>
      </x:c>
      <x:c r="I542" t="n">
        <x:v>0</x:v>
      </x:c>
      <x:c r="J542" t="str">
        <x:v>Ninguna</x:v>
      </x:c>
      <x:c r="K542" t="str">
        <x:v>No</x:v>
      </x:c>
      <x:c r="L542" t="str">
        <x:v>Barcelona</x:v>
      </x:c>
      <x:c r="M542" t="n">
        <x:f>IF(AND(B542&gt;=DATE(2026,7,1),B542&lt;=DATE(2026,9,30),G542&gt;=DATE(2026,7,1),G542&lt;=DATE(2026,9,30)),1,0)</x:f>
        <x:v>0</x:v>
      </x:c>
      <x:c r="N542" t="n">
        <x:f>IF(M542=1,IF(G542&lt;=F542,1,0),0)</x:f>
        <x:v>0</x:v>
      </x:c>
      <x:c r="O542" t="n">
        <x:f>IF(AND(M542=1,K542="Sí",G542&gt;F542),1,0)</x:f>
        <x:v>0</x:v>
      </x:c>
      <x:c r="P542" t="n">
        <x:f>IF(AND(M542=1,I542&gt;0),1,0)</x:f>
        <x:v>0</x:v>
      </x:c>
      <x:c r="Q542" t="n">
        <x:f>IF(AND(B542&gt;=DATE(2026,7,1),B542&lt;=DATE(2026,9,30),G542&gt;=DATE(2026,10,1),G542&lt;=DATE(2026,10,7)),1,0)</x:f>
        <x:v>0</x:v>
      </x:c>
      <x:c r="R542" t="n">
        <x:f>IF(AND(B542&gt;=DATE(2026,7,1),B542&lt;=DATE(2026,9,30),G542&gt;DATE(2026,10,7)),1,0)</x:f>
        <x:v>1</x:v>
      </x:c>
      <x:c r="S542" t="n">
        <x:f>IF(AND(M542=1,J542&lt;&gt;"Ninguna"),1,0)</x:f>
        <x:v>0</x:v>
      </x:c>
    </x:row>
    <x:row r="543">
      <x:c r="A543" t="str">
        <x:v>PED-0542</x:v>
      </x:c>
      <x:c r="B543" s="12" t="n">
        <x:v>46284</x:v>
      </x:c>
      <x:c r="C543" t="str">
        <x:v>MetalNova</x:v>
      </x:c>
      <x:c r="D543" t="str">
        <x:v>Materia prima</x:v>
      </x:c>
      <x:c r="E543" s="10" t="n">
        <x:v>9887.45</x:v>
      </x:c>
      <x:c r="F543" s="12" t="n">
        <x:v>46296</x:v>
      </x:c>
      <x:c r="G543" s="12" t="n">
        <x:v>46299</x:v>
      </x:c>
      <x:c r="H543" t="n">
        <x:v>310</x:v>
      </x:c>
      <x:c r="I543" t="n">
        <x:v>0</x:v>
      </x:c>
      <x:c r="J543" t="str">
        <x:v>Ninguna</x:v>
      </x:c>
      <x:c r="K543" t="str">
        <x:v>No</x:v>
      </x:c>
      <x:c r="L543" t="str">
        <x:v>Barcelona</x:v>
      </x:c>
      <x:c r="M543" t="n">
        <x:f>IF(AND(B543&gt;=DATE(2026,7,1),B543&lt;=DATE(2026,9,30),G543&gt;=DATE(2026,7,1),G543&lt;=DATE(2026,9,30)),1,0)</x:f>
        <x:v>0</x:v>
      </x:c>
      <x:c r="N543" t="n">
        <x:f>IF(M543=1,IF(G543&lt;=F543,1,0),0)</x:f>
        <x:v>0</x:v>
      </x:c>
      <x:c r="O543" t="n">
        <x:f>IF(AND(M543=1,K543="Sí",G543&gt;F543),1,0)</x:f>
        <x:v>0</x:v>
      </x:c>
      <x:c r="P543" t="n">
        <x:f>IF(AND(M543=1,I543&gt;0),1,0)</x:f>
        <x:v>0</x:v>
      </x:c>
      <x:c r="Q543" t="n">
        <x:f>IF(AND(B543&gt;=DATE(2026,7,1),B543&lt;=DATE(2026,9,30),G543&gt;=DATE(2026,10,1),G543&lt;=DATE(2026,10,7)),1,0)</x:f>
        <x:v>1</x:v>
      </x:c>
      <x:c r="R543" t="n">
        <x:f>IF(AND(B543&gt;=DATE(2026,7,1),B543&lt;=DATE(2026,9,30),G543&gt;DATE(2026,10,7)),1,0)</x:f>
        <x:v>0</x:v>
      </x:c>
      <x:c r="S543" t="n">
        <x:f>IF(AND(M543=1,J543&lt;&gt;"Ninguna"),1,0)</x:f>
        <x:v>0</x:v>
      </x:c>
    </x:row>
    <x:row r="544">
      <x:c r="A544" t="str">
        <x:v>PED-0543</x:v>
      </x:c>
      <x:c r="B544" s="12" t="n">
        <x:v>46291</x:v>
      </x:c>
      <x:c r="C544" t="str">
        <x:v>MetalNova</x:v>
      </x:c>
      <x:c r="D544" t="str">
        <x:v>Componentes mecánicos</x:v>
      </x:c>
      <x:c r="E544" s="10" t="n">
        <x:v>6354.3</x:v>
      </x:c>
      <x:c r="F544" s="12" t="n">
        <x:v>46302</x:v>
      </x:c>
      <x:c r="G544" s="12" t="n">
        <x:v>46302</x:v>
      </x:c>
      <x:c r="H544" t="n">
        <x:v>144</x:v>
      </x:c>
      <x:c r="I544" t="n">
        <x:v>0</x:v>
      </x:c>
      <x:c r="J544" t="str">
        <x:v>Ninguna</x:v>
      </x:c>
      <x:c r="K544" t="str">
        <x:v>No</x:v>
      </x:c>
      <x:c r="L544" t="str">
        <x:v>Valencia</x:v>
      </x:c>
      <x:c r="M544" t="n">
        <x:f>IF(AND(B544&gt;=DATE(2026,7,1),B544&lt;=DATE(2026,9,30),G544&gt;=DATE(2026,7,1),G544&lt;=DATE(2026,9,30)),1,0)</x:f>
        <x:v>0</x:v>
      </x:c>
      <x:c r="N544" t="n">
        <x:f>IF(M544=1,IF(G544&lt;=F544,1,0),0)</x:f>
        <x:v>0</x:v>
      </x:c>
      <x:c r="O544" t="n">
        <x:f>IF(AND(M544=1,K544="Sí",G544&gt;F544),1,0)</x:f>
        <x:v>0</x:v>
      </x:c>
      <x:c r="P544" t="n">
        <x:f>IF(AND(M544=1,I544&gt;0),1,0)</x:f>
        <x:v>0</x:v>
      </x:c>
      <x:c r="Q544" t="n">
        <x:f>IF(AND(B544&gt;=DATE(2026,7,1),B544&lt;=DATE(2026,9,30),G544&gt;=DATE(2026,10,1),G544&lt;=DATE(2026,10,7)),1,0)</x:f>
        <x:v>1</x:v>
      </x:c>
      <x:c r="R544" t="n">
        <x:f>IF(AND(B544&gt;=DATE(2026,7,1),B544&lt;=DATE(2026,9,30),G544&gt;DATE(2026,10,7)),1,0)</x:f>
        <x:v>0</x:v>
      </x:c>
      <x:c r="S544" t="n">
        <x:f>IF(AND(M544=1,J544&lt;&gt;"Ninguna"),1,0)</x:f>
        <x:v>0</x:v>
      </x:c>
    </x:row>
    <x:row r="545">
      <x:c r="A545" t="str">
        <x:v>PED-0544</x:v>
      </x:c>
      <x:c r="B545" s="12" t="n">
        <x:v>46266</x:v>
      </x:c>
      <x:c r="C545" t="str">
        <x:v>MecaParts</x:v>
      </x:c>
      <x:c r="D545" t="str">
        <x:v>Componentes mecánicos</x:v>
      </x:c>
      <x:c r="E545" s="10" t="n">
        <x:v>18804.1</x:v>
      </x:c>
      <x:c r="F545" s="12" t="n">
        <x:v>46274</x:v>
      </x:c>
      <x:c r="G545" s="12" t="n">
        <x:v>46275</x:v>
      </x:c>
      <x:c r="H545" t="n">
        <x:v>391</x:v>
      </x:c>
      <x:c r="I545" t="n">
        <x:v>0</x:v>
      </x:c>
      <x:c r="J545" t="str">
        <x:v>Ninguna</x:v>
      </x:c>
      <x:c r="K545" t="str">
        <x:v>No</x:v>
      </x:c>
      <x:c r="L545" t="str">
        <x:v>Zaragoza</x:v>
      </x:c>
      <x:c r="M545" t="n">
        <x:f>IF(AND(B545&gt;=DATE(2026,7,1),B545&lt;=DATE(2026,9,30),G545&gt;=DATE(2026,7,1),G545&lt;=DATE(2026,9,30)),1,0)</x:f>
        <x:v>1</x:v>
      </x:c>
      <x:c r="N545" t="n">
        <x:f>IF(M545=1,IF(G545&lt;=F545,1,0),0)</x:f>
        <x:v>0</x:v>
      </x:c>
      <x:c r="O545" t="n">
        <x:f>IF(AND(M545=1,K545="Sí",G545&gt;F545),1,0)</x:f>
        <x:v>0</x:v>
      </x:c>
      <x:c r="P545" t="n">
        <x:f>IF(AND(M545=1,I545&gt;0),1,0)</x:f>
        <x:v>0</x:v>
      </x:c>
      <x:c r="Q545" t="n">
        <x:f>IF(AND(B545&gt;=DATE(2026,7,1),B545&lt;=DATE(2026,9,30),G545&gt;=DATE(2026,10,1),G545&lt;=DATE(2026,10,7)),1,0)</x:f>
        <x:v>0</x:v>
      </x:c>
      <x:c r="R545" t="n">
        <x:f>IF(AND(B545&gt;=DATE(2026,7,1),B545&lt;=DATE(2026,9,30),G545&gt;DATE(2026,10,7)),1,0)</x:f>
        <x:v>0</x:v>
      </x:c>
      <x:c r="S545" t="n">
        <x:f>IF(AND(M545=1,J545&lt;&gt;"Ninguna"),1,0)</x:f>
        <x:v>0</x:v>
      </x:c>
    </x:row>
    <x:row r="546">
      <x:c r="A546" t="str">
        <x:v>PED-0545</x:v>
      </x:c>
      <x:c r="B546" s="12" t="n">
        <x:v>46210</x:v>
      </x:c>
      <x:c r="C546" t="str">
        <x:v>PackPro</x:v>
      </x:c>
      <x:c r="D546" t="str">
        <x:v>Embalaje</x:v>
      </x:c>
      <x:c r="E546" s="10" t="n">
        <x:v>11137.49</x:v>
      </x:c>
      <x:c r="F546" s="12" t="n">
        <x:v>46215</x:v>
      </x:c>
      <x:c r="G546" s="12" t="n">
        <x:v>46220</x:v>
      </x:c>
      <x:c r="H546" t="n">
        <x:v>388</x:v>
      </x:c>
      <x:c r="I546" t="n">
        <x:v>0</x:v>
      </x:c>
      <x:c r="J546" t="str">
        <x:v>Documentación</x:v>
      </x:c>
      <x:c r="K546" t="str">
        <x:v>No</x:v>
      </x:c>
      <x:c r="L546" t="str">
        <x:v>Valencia</x:v>
      </x:c>
      <x:c r="M546" t="n">
        <x:f>IF(AND(B546&gt;=DATE(2026,7,1),B546&lt;=DATE(2026,9,30),G546&gt;=DATE(2026,7,1),G546&lt;=DATE(2026,9,30)),1,0)</x:f>
        <x:v>1</x:v>
      </x:c>
      <x:c r="N546" t="n">
        <x:f>IF(M546=1,IF(G546&lt;=F546,1,0),0)</x:f>
        <x:v>0</x:v>
      </x:c>
      <x:c r="O546" t="n">
        <x:f>IF(AND(M546=1,K546="Sí",G546&gt;F546),1,0)</x:f>
        <x:v>0</x:v>
      </x:c>
      <x:c r="P546" t="n">
        <x:f>IF(AND(M546=1,I546&gt;0),1,0)</x:f>
        <x:v>0</x:v>
      </x:c>
      <x:c r="Q546" t="n">
        <x:f>IF(AND(B546&gt;=DATE(2026,7,1),B546&lt;=DATE(2026,9,30),G546&gt;=DATE(2026,10,1),G546&lt;=DATE(2026,10,7)),1,0)</x:f>
        <x:v>0</x:v>
      </x:c>
      <x:c r="R546" t="n">
        <x:f>IF(AND(B546&gt;=DATE(2026,7,1),B546&lt;=DATE(2026,9,30),G546&gt;DATE(2026,10,7)),1,0)</x:f>
        <x:v>0</x:v>
      </x:c>
      <x:c r="S546" t="n">
        <x:f>IF(AND(M546=1,J546&lt;&gt;"Ninguna"),1,0)</x:f>
        <x:v>1</x:v>
      </x:c>
    </x:row>
    <x:row r="547">
      <x:c r="A547" t="str">
        <x:v>PED-0546</x:v>
      </x:c>
      <x:c r="B547" s="12" t="n">
        <x:v>46270</x:v>
      </x:c>
      <x:c r="C547" t="str">
        <x:v>MetalNova</x:v>
      </x:c>
      <x:c r="D547" t="str">
        <x:v>Materia prima</x:v>
      </x:c>
      <x:c r="E547" s="10" t="n">
        <x:v>1826.05</x:v>
      </x:c>
      <x:c r="F547" s="12" t="n">
        <x:v>46282</x:v>
      </x:c>
      <x:c r="G547" s="12" t="n">
        <x:v>46286</x:v>
      </x:c>
      <x:c r="H547" t="n">
        <x:v>122</x:v>
      </x:c>
      <x:c r="I547" t="n">
        <x:v>0</x:v>
      </x:c>
      <x:c r="J547" t="str">
        <x:v>Retraso</x:v>
      </x:c>
      <x:c r="K547" t="str">
        <x:v>No</x:v>
      </x:c>
      <x:c r="L547" t="str">
        <x:v>Barcelona</x:v>
      </x:c>
      <x:c r="M547" t="n">
        <x:f>IF(AND(B547&gt;=DATE(2026,7,1),B547&lt;=DATE(2026,9,30),G547&gt;=DATE(2026,7,1),G547&lt;=DATE(2026,9,30)),1,0)</x:f>
        <x:v>1</x:v>
      </x:c>
      <x:c r="N547" t="n">
        <x:f>IF(M547=1,IF(G547&lt;=F547,1,0),0)</x:f>
        <x:v>0</x:v>
      </x:c>
      <x:c r="O547" t="n">
        <x:f>IF(AND(M547=1,K547="Sí",G547&gt;F547),1,0)</x:f>
        <x:v>0</x:v>
      </x:c>
      <x:c r="P547" t="n">
        <x:f>IF(AND(M547=1,I547&gt;0),1,0)</x:f>
        <x:v>0</x:v>
      </x:c>
      <x:c r="Q547" t="n">
        <x:f>IF(AND(B547&gt;=DATE(2026,7,1),B547&lt;=DATE(2026,9,30),G547&gt;=DATE(2026,10,1),G547&lt;=DATE(2026,10,7)),1,0)</x:f>
        <x:v>0</x:v>
      </x:c>
      <x:c r="R547" t="n">
        <x:f>IF(AND(B547&gt;=DATE(2026,7,1),B547&lt;=DATE(2026,9,30),G547&gt;DATE(2026,10,7)),1,0)</x:f>
        <x:v>0</x:v>
      </x:c>
      <x:c r="S547" t="n">
        <x:f>IF(AND(M547=1,J547&lt;&gt;"Ninguna"),1,0)</x:f>
        <x:v>1</x:v>
      </x:c>
    </x:row>
    <x:row r="548">
      <x:c r="A548" t="str">
        <x:v>PED-0547</x:v>
      </x:c>
      <x:c r="B548" s="12" t="n">
        <x:v>46213</x:v>
      </x:c>
      <x:c r="C548" t="str">
        <x:v>OfiPlus</x:v>
      </x:c>
      <x:c r="D548" t="str">
        <x:v>Consumibles</x:v>
      </x:c>
      <x:c r="E548" s="10" t="n">
        <x:v>1034.31</x:v>
      </x:c>
      <x:c r="F548" s="12" t="n">
        <x:v>46217</x:v>
      </x:c>
      <x:c r="G548" s="12" t="n">
        <x:v>46215</x:v>
      </x:c>
      <x:c r="H548" t="n">
        <x:v>29</x:v>
      </x:c>
      <x:c r="I548" t="n">
        <x:v>0</x:v>
      </x:c>
      <x:c r="J548" t="str">
        <x:v>Ninguna</x:v>
      </x:c>
      <x:c r="K548" t="str">
        <x:v>No</x:v>
      </x:c>
      <x:c r="L548" t="str">
        <x:v>Barcelona</x:v>
      </x:c>
      <x:c r="M548" t="n">
        <x:f>IF(AND(B548&gt;=DATE(2026,7,1),B548&lt;=DATE(2026,9,30),G548&gt;=DATE(2026,7,1),G548&lt;=DATE(2026,9,30)),1,0)</x:f>
        <x:v>1</x:v>
      </x:c>
      <x:c r="N548" t="n">
        <x:f>IF(M548=1,IF(G548&lt;=F548,1,0),0)</x:f>
        <x:v>1</x:v>
      </x:c>
      <x:c r="O548" t="n">
        <x:f>IF(AND(M548=1,K548="Sí",G548&gt;F548),1,0)</x:f>
        <x:v>0</x:v>
      </x:c>
      <x:c r="P548" t="n">
        <x:f>IF(AND(M548=1,I548&gt;0),1,0)</x:f>
        <x:v>0</x:v>
      </x:c>
      <x:c r="Q548" t="n">
        <x:f>IF(AND(B548&gt;=DATE(2026,7,1),B548&lt;=DATE(2026,9,30),G548&gt;=DATE(2026,10,1),G548&lt;=DATE(2026,10,7)),1,0)</x:f>
        <x:v>0</x:v>
      </x:c>
      <x:c r="R548" t="n">
        <x:f>IF(AND(B548&gt;=DATE(2026,7,1),B548&lt;=DATE(2026,9,30),G548&gt;DATE(2026,10,7)),1,0)</x:f>
        <x:v>0</x:v>
      </x:c>
      <x:c r="S548" t="n">
        <x:f>IF(AND(M548=1,J548&lt;&gt;"Ninguna"),1,0)</x:f>
        <x:v>0</x:v>
      </x:c>
    </x:row>
    <x:row r="549">
      <x:c r="A549" t="str">
        <x:v>PED-0548</x:v>
      </x:c>
      <x:c r="B549" s="12" t="n">
        <x:v>46233</x:v>
      </x:c>
      <x:c r="C549" t="str">
        <x:v>MecaParts</x:v>
      </x:c>
      <x:c r="D549" t="str">
        <x:v>Componentes mecánicos</x:v>
      </x:c>
      <x:c r="E549" s="10" t="n">
        <x:v>3393.97</x:v>
      </x:c>
      <x:c r="F549" s="12" t="n">
        <x:v>46243</x:v>
      </x:c>
      <x:c r="G549" s="12" t="n">
        <x:v>46243</x:v>
      </x:c>
      <x:c r="H549" t="n">
        <x:v>86</x:v>
      </x:c>
      <x:c r="I549" t="n">
        <x:v>0</x:v>
      </x:c>
      <x:c r="J549" t="str">
        <x:v>Daño transporte</x:v>
      </x:c>
      <x:c r="K549" t="str">
        <x:v>No</x:v>
      </x:c>
      <x:c r="L549" t="str">
        <x:v>Zaragoza</x:v>
      </x:c>
      <x:c r="M549" t="n">
        <x:f>IF(AND(B549&gt;=DATE(2026,7,1),B549&lt;=DATE(2026,9,30),G549&gt;=DATE(2026,7,1),G549&lt;=DATE(2026,9,30)),1,0)</x:f>
        <x:v>1</x:v>
      </x:c>
      <x:c r="N549" t="n">
        <x:f>IF(M549=1,IF(G549&lt;=F549,1,0),0)</x:f>
        <x:v>1</x:v>
      </x:c>
      <x:c r="O549" t="n">
        <x:f>IF(AND(M549=1,K549="Sí",G549&gt;F549),1,0)</x:f>
        <x:v>0</x:v>
      </x:c>
      <x:c r="P549" t="n">
        <x:f>IF(AND(M549=1,I549&gt;0),1,0)</x:f>
        <x:v>0</x:v>
      </x:c>
      <x:c r="Q549" t="n">
        <x:f>IF(AND(B549&gt;=DATE(2026,7,1),B549&lt;=DATE(2026,9,30),G549&gt;=DATE(2026,10,1),G549&lt;=DATE(2026,10,7)),1,0)</x:f>
        <x:v>0</x:v>
      </x:c>
      <x:c r="R549" t="n">
        <x:f>IF(AND(B549&gt;=DATE(2026,7,1),B549&lt;=DATE(2026,9,30),G549&gt;DATE(2026,10,7)),1,0)</x:f>
        <x:v>0</x:v>
      </x:c>
      <x:c r="S549" t="n">
        <x:f>IF(AND(M549=1,J549&lt;&gt;"Ninguna"),1,0)</x:f>
        <x:v>1</x:v>
      </x:c>
    </x:row>
    <x:row r="550">
      <x:c r="A550" t="str">
        <x:v>PED-0549</x:v>
      </x:c>
      <x:c r="B550" s="12" t="n">
        <x:v>46282</x:v>
      </x:c>
      <x:c r="C550" t="str">
        <x:v>ElectraSupply</x:v>
      </x:c>
      <x:c r="D550" t="str">
        <x:v>Componentes eléctricos</x:v>
      </x:c>
      <x:c r="E550" s="10" t="n">
        <x:v>10839.15</x:v>
      </x:c>
      <x:c r="F550" s="12" t="n">
        <x:v>46295</x:v>
      </x:c>
      <x:c r="G550" s="12" t="n">
        <x:v>46298</x:v>
      </x:c>
      <x:c r="H550" t="n">
        <x:v>216</x:v>
      </x:c>
      <x:c r="I550" t="n">
        <x:v>0</x:v>
      </x:c>
      <x:c r="J550" t="str">
        <x:v>Ninguna</x:v>
      </x:c>
      <x:c r="K550" t="str">
        <x:v>No</x:v>
      </x:c>
      <x:c r="L550" t="str">
        <x:v>Barcelona</x:v>
      </x:c>
      <x:c r="M550" t="n">
        <x:f>IF(AND(B550&gt;=DATE(2026,7,1),B550&lt;=DATE(2026,9,30),G550&gt;=DATE(2026,7,1),G550&lt;=DATE(2026,9,30)),1,0)</x:f>
        <x:v>0</x:v>
      </x:c>
      <x:c r="N550" t="n">
        <x:f>IF(M550=1,IF(G550&lt;=F550,1,0),0)</x:f>
        <x:v>0</x:v>
      </x:c>
      <x:c r="O550" t="n">
        <x:f>IF(AND(M550=1,K550="Sí",G550&gt;F550),1,0)</x:f>
        <x:v>0</x:v>
      </x:c>
      <x:c r="P550" t="n">
        <x:f>IF(AND(M550=1,I550&gt;0),1,0)</x:f>
        <x:v>0</x:v>
      </x:c>
      <x:c r="Q550" t="n">
        <x:f>IF(AND(B550&gt;=DATE(2026,7,1),B550&lt;=DATE(2026,9,30),G550&gt;=DATE(2026,10,1),G550&lt;=DATE(2026,10,7)),1,0)</x:f>
        <x:v>1</x:v>
      </x:c>
      <x:c r="R550" t="n">
        <x:f>IF(AND(B550&gt;=DATE(2026,7,1),B550&lt;=DATE(2026,9,30),G550&gt;DATE(2026,10,7)),1,0)</x:f>
        <x:v>0</x:v>
      </x:c>
      <x:c r="S550" t="n">
        <x:f>IF(AND(M550=1,J550&lt;&gt;"Ninguna"),1,0)</x:f>
        <x:v>0</x:v>
      </x:c>
    </x:row>
    <x:row r="551">
      <x:c r="A551" t="str">
        <x:v>PED-0550</x:v>
      </x:c>
      <x:c r="B551" s="12" t="n">
        <x:v>46204</x:v>
      </x:c>
      <x:c r="C551" t="str">
        <x:v>MecaParts</x:v>
      </x:c>
      <x:c r="D551" t="str">
        <x:v>Componentes mecánicos</x:v>
      </x:c>
      <x:c r="E551" s="10" t="n">
        <x:v>1623.29</x:v>
      </x:c>
      <x:c r="F551" s="12" t="n">
        <x:v>46213</x:v>
      </x:c>
      <x:c r="G551" s="12" t="n">
        <x:v>46215</x:v>
      </x:c>
      <x:c r="H551" t="n">
        <x:v>32</x:v>
      </x:c>
      <x:c r="I551" t="n">
        <x:v>0</x:v>
      </x:c>
      <x:c r="J551" t="str">
        <x:v>Ninguna</x:v>
      </x:c>
      <x:c r="K551" t="str">
        <x:v>No</x:v>
      </x:c>
      <x:c r="L551" t="str">
        <x:v>Valencia</x:v>
      </x:c>
      <x:c r="M551" t="n">
        <x:f>IF(AND(B551&gt;=DATE(2026,7,1),B551&lt;=DATE(2026,9,30),G551&gt;=DATE(2026,7,1),G551&lt;=DATE(2026,9,30)),1,0)</x:f>
        <x:v>1</x:v>
      </x:c>
      <x:c r="N551" t="n">
        <x:f>IF(M551=1,IF(G551&lt;=F551,1,0),0)</x:f>
        <x:v>0</x:v>
      </x:c>
      <x:c r="O551" t="n">
        <x:f>IF(AND(M551=1,K551="Sí",G551&gt;F551),1,0)</x:f>
        <x:v>0</x:v>
      </x:c>
      <x:c r="P551" t="n">
        <x:f>IF(AND(M551=1,I551&gt;0),1,0)</x:f>
        <x:v>0</x:v>
      </x:c>
      <x:c r="Q551" t="n">
        <x:f>IF(AND(B551&gt;=DATE(2026,7,1),B551&lt;=DATE(2026,9,30),G551&gt;=DATE(2026,10,1),G551&lt;=DATE(2026,10,7)),1,0)</x:f>
        <x:v>0</x:v>
      </x:c>
      <x:c r="R551" t="n">
        <x:f>IF(AND(B551&gt;=DATE(2026,7,1),B551&lt;=DATE(2026,9,30),G551&gt;DATE(2026,10,7)),1,0)</x:f>
        <x:v>0</x:v>
      </x:c>
      <x:c r="S551" t="n">
        <x:f>IF(AND(M551=1,J551&lt;&gt;"Ninguna"),1,0)</x:f>
        <x:v>0</x:v>
      </x:c>
    </x:row>
    <x:row r="552">
      <x:c r="A552" t="str">
        <x:v>PED-0551</x:v>
      </x:c>
      <x:c r="B552" s="12" t="n">
        <x:v>46294</x:v>
      </x:c>
      <x:c r="C552" t="str">
        <x:v>OfiPlus</x:v>
      </x:c>
      <x:c r="D552" t="str">
        <x:v>Consumibles</x:v>
      </x:c>
      <x:c r="E552" s="10" t="n">
        <x:v>9805.58</x:v>
      </x:c>
      <x:c r="F552" s="12" t="n">
        <x:v>46297</x:v>
      </x:c>
      <x:c r="G552" s="12" t="n">
        <x:v>46307</x:v>
      </x:c>
      <x:c r="H552" t="n">
        <x:v>257</x:v>
      </x:c>
      <x:c r="I552" t="n">
        <x:v>0</x:v>
      </x:c>
      <x:c r="J552" t="str">
        <x:v>Retraso</x:v>
      </x:c>
      <x:c r="K552" t="str">
        <x:v>No</x:v>
      </x:c>
      <x:c r="L552" t="str">
        <x:v>Valencia</x:v>
      </x:c>
      <x:c r="M552" t="n">
        <x:f>IF(AND(B552&gt;=DATE(2026,7,1),B552&lt;=DATE(2026,9,30),G552&gt;=DATE(2026,7,1),G552&lt;=DATE(2026,9,30)),1,0)</x:f>
        <x:v>0</x:v>
      </x:c>
      <x:c r="N552" t="n">
        <x:f>IF(M552=1,IF(G552&lt;=F552,1,0),0)</x:f>
        <x:v>0</x:v>
      </x:c>
      <x:c r="O552" t="n">
        <x:f>IF(AND(M552=1,K552="Sí",G552&gt;F552),1,0)</x:f>
        <x:v>0</x:v>
      </x:c>
      <x:c r="P552" t="n">
        <x:f>IF(AND(M552=1,I552&gt;0),1,0)</x:f>
        <x:v>0</x:v>
      </x:c>
      <x:c r="Q552" t="n">
        <x:f>IF(AND(B552&gt;=DATE(2026,7,1),B552&lt;=DATE(2026,9,30),G552&gt;=DATE(2026,10,1),G552&lt;=DATE(2026,10,7)),1,0)</x:f>
        <x:v>0</x:v>
      </x:c>
      <x:c r="R552" t="n">
        <x:f>IF(AND(B552&gt;=DATE(2026,7,1),B552&lt;=DATE(2026,9,30),G552&gt;DATE(2026,10,7)),1,0)</x:f>
        <x:v>1</x:v>
      </x:c>
      <x:c r="S552" t="n">
        <x:f>IF(AND(M552=1,J552&lt;&gt;"Ninguna"),1,0)</x:f>
        <x:v>0</x:v>
      </x:c>
    </x:row>
    <x:row r="553">
      <x:c r="A553" t="str">
        <x:v>PED-0552</x:v>
      </x:c>
      <x:c r="B553" s="12" t="n">
        <x:v>46280</x:v>
      </x:c>
      <x:c r="C553" t="str">
        <x:v>MetalNova</x:v>
      </x:c>
      <x:c r="D553" t="str">
        <x:v>Materia prima</x:v>
      </x:c>
      <x:c r="E553" s="10" t="n">
        <x:v>1213.79</x:v>
      </x:c>
      <x:c r="F553" s="12" t="n">
        <x:v>46291</x:v>
      </x:c>
      <x:c r="G553" s="12" t="n">
        <x:v>46294</x:v>
      </x:c>
      <x:c r="H553" t="n">
        <x:v>134</x:v>
      </x:c>
      <x:c r="I553" t="n">
        <x:v>0</x:v>
      </x:c>
      <x:c r="J553" t="str">
        <x:v>Ninguna</x:v>
      </x:c>
      <x:c r="K553" t="str">
        <x:v>No</x:v>
      </x:c>
      <x:c r="L553" t="str">
        <x:v>Zaragoza</x:v>
      </x:c>
      <x:c r="M553" t="n">
        <x:f>IF(AND(B553&gt;=DATE(2026,7,1),B553&lt;=DATE(2026,9,30),G553&gt;=DATE(2026,7,1),G553&lt;=DATE(2026,9,30)),1,0)</x:f>
        <x:v>1</x:v>
      </x:c>
      <x:c r="N553" t="n">
        <x:f>IF(M553=1,IF(G553&lt;=F553,1,0),0)</x:f>
        <x:v>0</x:v>
      </x:c>
      <x:c r="O553" t="n">
        <x:f>IF(AND(M553=1,K553="Sí",G553&gt;F553),1,0)</x:f>
        <x:v>0</x:v>
      </x:c>
      <x:c r="P553" t="n">
        <x:f>IF(AND(M553=1,I553&gt;0),1,0)</x:f>
        <x:v>0</x:v>
      </x:c>
      <x:c r="Q553" t="n">
        <x:f>IF(AND(B553&gt;=DATE(2026,7,1),B553&lt;=DATE(2026,9,30),G553&gt;=DATE(2026,10,1),G553&lt;=DATE(2026,10,7)),1,0)</x:f>
        <x:v>0</x:v>
      </x:c>
      <x:c r="R553" t="n">
        <x:f>IF(AND(B553&gt;=DATE(2026,7,1),B553&lt;=DATE(2026,9,30),G553&gt;DATE(2026,10,7)),1,0)</x:f>
        <x:v>0</x:v>
      </x:c>
      <x:c r="S553" t="n">
        <x:f>IF(AND(M553=1,J553&lt;&gt;"Ninguna"),1,0)</x:f>
        <x:v>0</x:v>
      </x:c>
    </x:row>
    <x:row r="554">
      <x:c r="A554" t="str">
        <x:v>PED-0553</x:v>
      </x:c>
      <x:c r="B554" s="12" t="n">
        <x:v>46227</x:v>
      </x:c>
      <x:c r="C554" t="str">
        <x:v>MecaParts</x:v>
      </x:c>
      <x:c r="D554" t="str">
        <x:v>Componentes mecánicos</x:v>
      </x:c>
      <x:c r="E554" s="10" t="n">
        <x:v>8069.56</x:v>
      </x:c>
      <x:c r="F554" s="12" t="n">
        <x:v>46237</x:v>
      </x:c>
      <x:c r="G554" s="12" t="n">
        <x:v>46237</x:v>
      </x:c>
      <x:c r="H554" t="n">
        <x:v>184</x:v>
      </x:c>
      <x:c r="I554" t="n">
        <x:v>0</x:v>
      </x:c>
      <x:c r="J554" t="str">
        <x:v>Ninguna</x:v>
      </x:c>
      <x:c r="K554" t="str">
        <x:v>No</x:v>
      </x:c>
      <x:c r="L554" t="str">
        <x:v>Valencia</x:v>
      </x:c>
      <x:c r="M554" t="n">
        <x:f>IF(AND(B554&gt;=DATE(2026,7,1),B554&lt;=DATE(2026,9,30),G554&gt;=DATE(2026,7,1),G554&lt;=DATE(2026,9,30)),1,0)</x:f>
        <x:v>1</x:v>
      </x:c>
      <x:c r="N554" t="n">
        <x:f>IF(M554=1,IF(G554&lt;=F554,1,0),0)</x:f>
        <x:v>1</x:v>
      </x:c>
      <x:c r="O554" t="n">
        <x:f>IF(AND(M554=1,K554="Sí",G554&gt;F554),1,0)</x:f>
        <x:v>0</x:v>
      </x:c>
      <x:c r="P554" t="n">
        <x:f>IF(AND(M554=1,I554&gt;0),1,0)</x:f>
        <x:v>0</x:v>
      </x:c>
      <x:c r="Q554" t="n">
        <x:f>IF(AND(B554&gt;=DATE(2026,7,1),B554&lt;=DATE(2026,9,30),G554&gt;=DATE(2026,10,1),G554&lt;=DATE(2026,10,7)),1,0)</x:f>
        <x:v>0</x:v>
      </x:c>
      <x:c r="R554" t="n">
        <x:f>IF(AND(B554&gt;=DATE(2026,7,1),B554&lt;=DATE(2026,9,30),G554&gt;DATE(2026,10,7)),1,0)</x:f>
        <x:v>0</x:v>
      </x:c>
      <x:c r="S554" t="n">
        <x:f>IF(AND(M554=1,J554&lt;&gt;"Ninguna"),1,0)</x:f>
        <x:v>0</x:v>
      </x:c>
    </x:row>
    <x:row r="555">
      <x:c r="A555" t="str">
        <x:v>PED-0554</x:v>
      </x:c>
      <x:c r="B555" s="12" t="n">
        <x:v>46216</x:v>
      </x:c>
      <x:c r="C555" t="str">
        <x:v>MetalNova</x:v>
      </x:c>
      <x:c r="D555" t="str">
        <x:v>Componentes mecánicos</x:v>
      </x:c>
      <x:c r="E555" s="10" t="n">
        <x:v>4069.52</x:v>
      </x:c>
      <x:c r="F555" s="12" t="n">
        <x:v>46228</x:v>
      </x:c>
      <x:c r="G555" s="12" t="n">
        <x:v>46226</x:v>
      </x:c>
      <x:c r="H555" t="n">
        <x:v>91</x:v>
      </x:c>
      <x:c r="I555" t="n">
        <x:v>3</x:v>
      </x:c>
      <x:c r="J555" t="str">
        <x:v>Ninguna</x:v>
      </x:c>
      <x:c r="K555" t="str">
        <x:v>No</x:v>
      </x:c>
      <x:c r="L555" t="str">
        <x:v>Barcelona</x:v>
      </x:c>
      <x:c r="M555" t="n">
        <x:f>IF(AND(B555&gt;=DATE(2026,7,1),B555&lt;=DATE(2026,9,30),G555&gt;=DATE(2026,7,1),G555&lt;=DATE(2026,9,30)),1,0)</x:f>
        <x:v>1</x:v>
      </x:c>
      <x:c r="N555" t="n">
        <x:f>IF(M555=1,IF(G555&lt;=F555,1,0),0)</x:f>
        <x:v>1</x:v>
      </x:c>
      <x:c r="O555" t="n">
        <x:f>IF(AND(M555=1,K555="Sí",G555&gt;F555),1,0)</x:f>
        <x:v>0</x:v>
      </x:c>
      <x:c r="P555" t="n">
        <x:f>IF(AND(M555=1,I555&gt;0),1,0)</x:f>
        <x:v>1</x:v>
      </x:c>
      <x:c r="Q555" t="n">
        <x:f>IF(AND(B555&gt;=DATE(2026,7,1),B555&lt;=DATE(2026,9,30),G555&gt;=DATE(2026,10,1),G555&lt;=DATE(2026,10,7)),1,0)</x:f>
        <x:v>0</x:v>
      </x:c>
      <x:c r="R555" t="n">
        <x:f>IF(AND(B555&gt;=DATE(2026,7,1),B555&lt;=DATE(2026,9,30),G555&gt;DATE(2026,10,7)),1,0)</x:f>
        <x:v>0</x:v>
      </x:c>
      <x:c r="S555" t="n">
        <x:f>IF(AND(M555=1,J555&lt;&gt;"Ninguna"),1,0)</x:f>
        <x:v>0</x:v>
      </x:c>
    </x:row>
    <x:row r="556">
      <x:c r="A556" t="str">
        <x:v>PED-0555</x:v>
      </x:c>
      <x:c r="B556" s="12" t="n">
        <x:v>46247</x:v>
      </x:c>
      <x:c r="C556" t="str">
        <x:v>MetalNova</x:v>
      </x:c>
      <x:c r="D556" t="str">
        <x:v>Materia prima</x:v>
      </x:c>
      <x:c r="E556" s="10" t="n">
        <x:v>459.19</x:v>
      </x:c>
      <x:c r="F556" s="12" t="n">
        <x:v>46256</x:v>
      </x:c>
      <x:c r="G556" s="12" t="n">
        <x:v>46257</x:v>
      </x:c>
      <x:c r="H556" t="n">
        <x:v>38</x:v>
      </x:c>
      <x:c r="I556" t="n">
        <x:v>0</x:v>
      </x:c>
      <x:c r="J556" t="str">
        <x:v>Ninguna</x:v>
      </x:c>
      <x:c r="K556" t="str">
        <x:v>No</x:v>
      </x:c>
      <x:c r="L556" t="str">
        <x:v>Zaragoza</x:v>
      </x:c>
      <x:c r="M556" t="n">
        <x:f>IF(AND(B556&gt;=DATE(2026,7,1),B556&lt;=DATE(2026,9,30),G556&gt;=DATE(2026,7,1),G556&lt;=DATE(2026,9,30)),1,0)</x:f>
        <x:v>1</x:v>
      </x:c>
      <x:c r="N556" t="n">
        <x:f>IF(M556=1,IF(G556&lt;=F556,1,0),0)</x:f>
        <x:v>0</x:v>
      </x:c>
      <x:c r="O556" t="n">
        <x:f>IF(AND(M556=1,K556="Sí",G556&gt;F556),1,0)</x:f>
        <x:v>0</x:v>
      </x:c>
      <x:c r="P556" t="n">
        <x:f>IF(AND(M556=1,I556&gt;0),1,0)</x:f>
        <x:v>0</x:v>
      </x:c>
      <x:c r="Q556" t="n">
        <x:f>IF(AND(B556&gt;=DATE(2026,7,1),B556&lt;=DATE(2026,9,30),G556&gt;=DATE(2026,10,1),G556&lt;=DATE(2026,10,7)),1,0)</x:f>
        <x:v>0</x:v>
      </x:c>
      <x:c r="R556" t="n">
        <x:f>IF(AND(B556&gt;=DATE(2026,7,1),B556&lt;=DATE(2026,9,30),G556&gt;DATE(2026,10,7)),1,0)</x:f>
        <x:v>0</x:v>
      </x:c>
      <x:c r="S556" t="n">
        <x:f>IF(AND(M556=1,J556&lt;&gt;"Ninguna"),1,0)</x:f>
        <x:v>0</x:v>
      </x:c>
    </x:row>
    <x:row r="557">
      <x:c r="A557" t="str">
        <x:v>PED-0556</x:v>
      </x:c>
      <x:c r="B557" s="12" t="n">
        <x:v>46268</x:v>
      </x:c>
      <x:c r="C557" t="str">
        <x:v>MetalNova</x:v>
      </x:c>
      <x:c r="D557" t="str">
        <x:v>Componentes mecánicos</x:v>
      </x:c>
      <x:c r="E557" s="10" t="n">
        <x:v>150.92</x:v>
      </x:c>
      <x:c r="F557" s="12" t="n">
        <x:v>46280</x:v>
      </x:c>
      <x:c r="G557" s="12" t="n">
        <x:v>46279</x:v>
      </x:c>
      <x:c r="H557" t="n">
        <x:v>21</x:v>
      </x:c>
      <x:c r="I557" t="n">
        <x:v>0</x:v>
      </x:c>
      <x:c r="J557" t="str">
        <x:v>Ninguna</x:v>
      </x:c>
      <x:c r="K557" t="str">
        <x:v>No</x:v>
      </x:c>
      <x:c r="L557" t="str">
        <x:v>Valencia</x:v>
      </x:c>
      <x:c r="M557" t="n">
        <x:f>IF(AND(B557&gt;=DATE(2026,7,1),B557&lt;=DATE(2026,9,30),G557&gt;=DATE(2026,7,1),G557&lt;=DATE(2026,9,30)),1,0)</x:f>
        <x:v>1</x:v>
      </x:c>
      <x:c r="N557" t="n">
        <x:f>IF(M557=1,IF(G557&lt;=F557,1,0),0)</x:f>
        <x:v>1</x:v>
      </x:c>
      <x:c r="O557" t="n">
        <x:f>IF(AND(M557=1,K557="Sí",G557&gt;F557),1,0)</x:f>
        <x:v>0</x:v>
      </x:c>
      <x:c r="P557" t="n">
        <x:f>IF(AND(M557=1,I557&gt;0),1,0)</x:f>
        <x:v>0</x:v>
      </x:c>
      <x:c r="Q557" t="n">
        <x:f>IF(AND(B557&gt;=DATE(2026,7,1),B557&lt;=DATE(2026,9,30),G557&gt;=DATE(2026,10,1),G557&lt;=DATE(2026,10,7)),1,0)</x:f>
        <x:v>0</x:v>
      </x:c>
      <x:c r="R557" t="n">
        <x:f>IF(AND(B557&gt;=DATE(2026,7,1),B557&lt;=DATE(2026,9,30),G557&gt;DATE(2026,10,7)),1,0)</x:f>
        <x:v>0</x:v>
      </x:c>
      <x:c r="S557" t="n">
        <x:f>IF(AND(M557=1,J557&lt;&gt;"Ninguna"),1,0)</x:f>
        <x:v>0</x:v>
      </x:c>
    </x:row>
    <x:row r="558">
      <x:c r="A558" t="str">
        <x:v>PED-0557</x:v>
      </x:c>
      <x:c r="B558" s="12" t="n">
        <x:v>46260</x:v>
      </x:c>
      <x:c r="C558" t="str">
        <x:v>ElectraSupply</x:v>
      </x:c>
      <x:c r="D558" t="str">
        <x:v>Componentes eléctricos</x:v>
      </x:c>
      <x:c r="E558" s="10" t="n">
        <x:v>2775.34</x:v>
      </x:c>
      <x:c r="F558" s="12" t="n">
        <x:v>46274</x:v>
      </x:c>
      <x:c r="G558" s="12" t="n">
        <x:v>46275</x:v>
      </x:c>
      <x:c r="H558" t="n">
        <x:v>79</x:v>
      </x:c>
      <x:c r="I558" t="n">
        <x:v>11</x:v>
      </x:c>
      <x:c r="J558" t="str">
        <x:v>Calidad</x:v>
      </x:c>
      <x:c r="K558" t="str">
        <x:v>No</x:v>
      </x:c>
      <x:c r="L558" t="str">
        <x:v>Valencia</x:v>
      </x:c>
      <x:c r="M558" t="n">
        <x:f>IF(AND(B558&gt;=DATE(2026,7,1),B558&lt;=DATE(2026,9,30),G558&gt;=DATE(2026,7,1),G558&lt;=DATE(2026,9,30)),1,0)</x:f>
        <x:v>1</x:v>
      </x:c>
      <x:c r="N558" t="n">
        <x:f>IF(M558=1,IF(G558&lt;=F558,1,0),0)</x:f>
        <x:v>0</x:v>
      </x:c>
      <x:c r="O558" t="n">
        <x:f>IF(AND(M558=1,K558="Sí",G558&gt;F558),1,0)</x:f>
        <x:v>0</x:v>
      </x:c>
      <x:c r="P558" t="n">
        <x:f>IF(AND(M558=1,I558&gt;0),1,0)</x:f>
        <x:v>1</x:v>
      </x:c>
      <x:c r="Q558" t="n">
        <x:f>IF(AND(B558&gt;=DATE(2026,7,1),B558&lt;=DATE(2026,9,30),G558&gt;=DATE(2026,10,1),G558&lt;=DATE(2026,10,7)),1,0)</x:f>
        <x:v>0</x:v>
      </x:c>
      <x:c r="R558" t="n">
        <x:f>IF(AND(B558&gt;=DATE(2026,7,1),B558&lt;=DATE(2026,9,30),G558&gt;DATE(2026,10,7)),1,0)</x:f>
        <x:v>0</x:v>
      </x:c>
      <x:c r="S558" t="n">
        <x:f>IF(AND(M558=1,J558&lt;&gt;"Ninguna"),1,0)</x:f>
        <x:v>1</x:v>
      </x:c>
    </x:row>
    <x:row r="559">
      <x:c r="A559" t="str">
        <x:v>PED-0558</x:v>
      </x:c>
      <x:c r="B559" s="12" t="n">
        <x:v>46282</x:v>
      </x:c>
      <x:c r="C559" t="str">
        <x:v>MetalNova</x:v>
      </x:c>
      <x:c r="D559" t="str">
        <x:v>Componentes mecánicos</x:v>
      </x:c>
      <x:c r="E559" s="10" t="n">
        <x:v>6185.04</x:v>
      </x:c>
      <x:c r="F559" s="12" t="n">
        <x:v>46294</x:v>
      </x:c>
      <x:c r="G559" s="12" t="n">
        <x:v>46296</x:v>
      </x:c>
      <x:c r="H559" t="n">
        <x:v>313</x:v>
      </x:c>
      <x:c r="I559" t="n">
        <x:v>0</x:v>
      </x:c>
      <x:c r="J559" t="str">
        <x:v>Ninguna</x:v>
      </x:c>
      <x:c r="K559" t="str">
        <x:v>No</x:v>
      </x:c>
      <x:c r="L559" t="str">
        <x:v>Zaragoza</x:v>
      </x:c>
      <x:c r="M559" t="n">
        <x:f>IF(AND(B559&gt;=DATE(2026,7,1),B559&lt;=DATE(2026,9,30),G559&gt;=DATE(2026,7,1),G559&lt;=DATE(2026,9,30)),1,0)</x:f>
        <x:v>0</x:v>
      </x:c>
      <x:c r="N559" t="n">
        <x:f>IF(M559=1,IF(G559&lt;=F559,1,0),0)</x:f>
        <x:v>0</x:v>
      </x:c>
      <x:c r="O559" t="n">
        <x:f>IF(AND(M559=1,K559="Sí",G559&gt;F559),1,0)</x:f>
        <x:v>0</x:v>
      </x:c>
      <x:c r="P559" t="n">
        <x:f>IF(AND(M559=1,I559&gt;0),1,0)</x:f>
        <x:v>0</x:v>
      </x:c>
      <x:c r="Q559" t="n">
        <x:f>IF(AND(B559&gt;=DATE(2026,7,1),B559&lt;=DATE(2026,9,30),G559&gt;=DATE(2026,10,1),G559&lt;=DATE(2026,10,7)),1,0)</x:f>
        <x:v>1</x:v>
      </x:c>
      <x:c r="R559" t="n">
        <x:f>IF(AND(B559&gt;=DATE(2026,7,1),B559&lt;=DATE(2026,9,30),G559&gt;DATE(2026,10,7)),1,0)</x:f>
        <x:v>0</x:v>
      </x:c>
      <x:c r="S559" t="n">
        <x:f>IF(AND(M559=1,J559&lt;&gt;"Ninguna"),1,0)</x:f>
        <x:v>0</x:v>
      </x:c>
    </x:row>
    <x:row r="560">
      <x:c r="A560" t="str">
        <x:v>PED-0559</x:v>
      </x:c>
      <x:c r="B560" s="12" t="n">
        <x:v>46244</x:v>
      </x:c>
      <x:c r="C560" t="str">
        <x:v>MecaParts</x:v>
      </x:c>
      <x:c r="D560" t="str">
        <x:v>Componentes mecánicos</x:v>
      </x:c>
      <x:c r="E560" s="10" t="n">
        <x:v>2192.15</x:v>
      </x:c>
      <x:c r="F560" s="12" t="n">
        <x:v>46253</x:v>
      </x:c>
      <x:c r="G560" s="12" t="n">
        <x:v>46254</x:v>
      </x:c>
      <x:c r="H560" t="n">
        <x:v>98</x:v>
      </x:c>
      <x:c r="I560" t="n">
        <x:v>0</x:v>
      </x:c>
      <x:c r="J560" t="str">
        <x:v>Ninguna</x:v>
      </x:c>
      <x:c r="K560" t="str">
        <x:v>Sí</x:v>
      </x:c>
      <x:c r="L560" t="str">
        <x:v>Barcelona</x:v>
      </x:c>
      <x:c r="M560" t="n">
        <x:f>IF(AND(B560&gt;=DATE(2026,7,1),B560&lt;=DATE(2026,9,30),G560&gt;=DATE(2026,7,1),G560&lt;=DATE(2026,9,30)),1,0)</x:f>
        <x:v>1</x:v>
      </x:c>
      <x:c r="N560" t="n">
        <x:f>IF(M560=1,IF(G560&lt;=F560,1,0),0)</x:f>
        <x:v>0</x:v>
      </x:c>
      <x:c r="O560" t="n">
        <x:f>IF(AND(M560=1,K560="Sí",G560&gt;F560),1,0)</x:f>
        <x:v>1</x:v>
      </x:c>
      <x:c r="P560" t="n">
        <x:f>IF(AND(M560=1,I560&gt;0),1,0)</x:f>
        <x:v>0</x:v>
      </x:c>
      <x:c r="Q560" t="n">
        <x:f>IF(AND(B560&gt;=DATE(2026,7,1),B560&lt;=DATE(2026,9,30),G560&gt;=DATE(2026,10,1),G560&lt;=DATE(2026,10,7)),1,0)</x:f>
        <x:v>0</x:v>
      </x:c>
      <x:c r="R560" t="n">
        <x:f>IF(AND(B560&gt;=DATE(2026,7,1),B560&lt;=DATE(2026,9,30),G560&gt;DATE(2026,10,7)),1,0)</x:f>
        <x:v>0</x:v>
      </x:c>
      <x:c r="S560" t="n">
        <x:f>IF(AND(M560=1,J560&lt;&gt;"Ninguna"),1,0)</x:f>
        <x:v>0</x:v>
      </x:c>
    </x:row>
    <x:row r="561">
      <x:c r="A561" t="str">
        <x:v>PED-0560</x:v>
      </x:c>
      <x:c r="B561" s="12" t="n">
        <x:v>46221</x:v>
      </x:c>
      <x:c r="C561" t="str">
        <x:v>MecaParts</x:v>
      </x:c>
      <x:c r="D561" t="str">
        <x:v>Componentes mecánicos</x:v>
      </x:c>
      <x:c r="E561" s="10" t="n">
        <x:v>6570.25</x:v>
      </x:c>
      <x:c r="F561" s="12" t="n">
        <x:v>46229</x:v>
      </x:c>
      <x:c r="G561" s="12" t="n">
        <x:v>46227</x:v>
      </x:c>
      <x:c r="H561" t="n">
        <x:v>343</x:v>
      </x:c>
      <x:c r="I561" t="n">
        <x:v>0</x:v>
      </x:c>
      <x:c r="J561" t="str">
        <x:v>Daño transporte</x:v>
      </x:c>
      <x:c r="K561" t="str">
        <x:v>Sí</x:v>
      </x:c>
      <x:c r="L561" t="str">
        <x:v>Valencia</x:v>
      </x:c>
      <x:c r="M561" t="n">
        <x:f>IF(AND(B561&gt;=DATE(2026,7,1),B561&lt;=DATE(2026,9,30),G561&gt;=DATE(2026,7,1),G561&lt;=DATE(2026,9,30)),1,0)</x:f>
        <x:v>1</x:v>
      </x:c>
      <x:c r="N561" t="n">
        <x:f>IF(M561=1,IF(G561&lt;=F561,1,0),0)</x:f>
        <x:v>1</x:v>
      </x:c>
      <x:c r="O561" t="n">
        <x:f>IF(AND(M561=1,K561="Sí",G561&gt;F561),1,0)</x:f>
        <x:v>0</x:v>
      </x:c>
      <x:c r="P561" t="n">
        <x:f>IF(AND(M561=1,I561&gt;0),1,0)</x:f>
        <x:v>0</x:v>
      </x:c>
      <x:c r="Q561" t="n">
        <x:f>IF(AND(B561&gt;=DATE(2026,7,1),B561&lt;=DATE(2026,9,30),G561&gt;=DATE(2026,10,1),G561&lt;=DATE(2026,10,7)),1,0)</x:f>
        <x:v>0</x:v>
      </x:c>
      <x:c r="R561" t="n">
        <x:f>IF(AND(B561&gt;=DATE(2026,7,1),B561&lt;=DATE(2026,9,30),G561&gt;DATE(2026,10,7)),1,0)</x:f>
        <x:v>0</x:v>
      </x:c>
      <x:c r="S561" t="n">
        <x:f>IF(AND(M561=1,J561&lt;&gt;"Ninguna"),1,0)</x:f>
        <x:v>1</x:v>
      </x:c>
    </x:row>
    <x:row r="562">
      <x:c r="A562" t="str">
        <x:v>PED-0561</x:v>
      </x:c>
      <x:c r="B562" s="12" t="n">
        <x:v>46291</x:v>
      </x:c>
      <x:c r="C562" t="str">
        <x:v>PackPro</x:v>
      </x:c>
      <x:c r="D562" t="str">
        <x:v>Embalaje</x:v>
      </x:c>
      <x:c r="E562" s="10" t="n">
        <x:v>3002.34</x:v>
      </x:c>
      <x:c r="F562" s="12" t="n">
        <x:v>46296</x:v>
      </x:c>
      <x:c r="G562" s="12" t="n">
        <x:v>46294</x:v>
      </x:c>
      <x:c r="H562" t="n">
        <x:v>122</x:v>
      </x:c>
      <x:c r="I562" t="n">
        <x:v>0</x:v>
      </x:c>
      <x:c r="J562" t="str">
        <x:v>Ninguna</x:v>
      </x:c>
      <x:c r="K562" t="str">
        <x:v>No</x:v>
      </x:c>
      <x:c r="L562" t="str">
        <x:v>Zaragoza</x:v>
      </x:c>
      <x:c r="M562" t="n">
        <x:f>IF(AND(B562&gt;=DATE(2026,7,1),B562&lt;=DATE(2026,9,30),G562&gt;=DATE(2026,7,1),G562&lt;=DATE(2026,9,30)),1,0)</x:f>
        <x:v>1</x:v>
      </x:c>
      <x:c r="N562" t="n">
        <x:f>IF(M562=1,IF(G562&lt;=F562,1,0),0)</x:f>
        <x:v>1</x:v>
      </x:c>
      <x:c r="O562" t="n">
        <x:f>IF(AND(M562=1,K562="Sí",G562&gt;F562),1,0)</x:f>
        <x:v>0</x:v>
      </x:c>
      <x:c r="P562" t="n">
        <x:f>IF(AND(M562=1,I562&gt;0),1,0)</x:f>
        <x:v>0</x:v>
      </x:c>
      <x:c r="Q562" t="n">
        <x:f>IF(AND(B562&gt;=DATE(2026,7,1),B562&lt;=DATE(2026,9,30),G562&gt;=DATE(2026,10,1),G562&lt;=DATE(2026,10,7)),1,0)</x:f>
        <x:v>0</x:v>
      </x:c>
      <x:c r="R562" t="n">
        <x:f>IF(AND(B562&gt;=DATE(2026,7,1),B562&lt;=DATE(2026,9,30),G562&gt;DATE(2026,10,7)),1,0)</x:f>
        <x:v>0</x:v>
      </x:c>
      <x:c r="S562" t="n">
        <x:f>IF(AND(M562=1,J562&lt;&gt;"Ninguna"),1,0)</x:f>
        <x:v>0</x:v>
      </x:c>
    </x:row>
    <x:row r="563">
      <x:c r="A563" t="str">
        <x:v>PED-0562</x:v>
      </x:c>
      <x:c r="B563" s="12" t="n">
        <x:v>46248</x:v>
      </x:c>
      <x:c r="C563" t="str">
        <x:v>MecaParts</x:v>
      </x:c>
      <x:c r="D563" t="str">
        <x:v>Componentes mecánicos</x:v>
      </x:c>
      <x:c r="E563" s="10" t="n">
        <x:v>4653.31</x:v>
      </x:c>
      <x:c r="F563" s="12" t="n">
        <x:v>46256</x:v>
      </x:c>
      <x:c r="G563" s="12" t="n">
        <x:v>46257</x:v>
      </x:c>
      <x:c r="H563" t="n">
        <x:v>109</x:v>
      </x:c>
      <x:c r="I563" t="n">
        <x:v>0</x:v>
      </x:c>
      <x:c r="J563" t="str">
        <x:v>Ninguna</x:v>
      </x:c>
      <x:c r="K563" t="str">
        <x:v>No</x:v>
      </x:c>
      <x:c r="L563" t="str">
        <x:v>Barcelona</x:v>
      </x:c>
      <x:c r="M563" t="n">
        <x:f>IF(AND(B563&gt;=DATE(2026,7,1),B563&lt;=DATE(2026,9,30),G563&gt;=DATE(2026,7,1),G563&lt;=DATE(2026,9,30)),1,0)</x:f>
        <x:v>1</x:v>
      </x:c>
      <x:c r="N563" t="n">
        <x:f>IF(M563=1,IF(G563&lt;=F563,1,0),0)</x:f>
        <x:v>0</x:v>
      </x:c>
      <x:c r="O563" t="n">
        <x:f>IF(AND(M563=1,K563="Sí",G563&gt;F563),1,0)</x:f>
        <x:v>0</x:v>
      </x:c>
      <x:c r="P563" t="n">
        <x:f>IF(AND(M563=1,I563&gt;0),1,0)</x:f>
        <x:v>0</x:v>
      </x:c>
      <x:c r="Q563" t="n">
        <x:f>IF(AND(B563&gt;=DATE(2026,7,1),B563&lt;=DATE(2026,9,30),G563&gt;=DATE(2026,10,1),G563&lt;=DATE(2026,10,7)),1,0)</x:f>
        <x:v>0</x:v>
      </x:c>
      <x:c r="R563" t="n">
        <x:f>IF(AND(B563&gt;=DATE(2026,7,1),B563&lt;=DATE(2026,9,30),G563&gt;DATE(2026,10,7)),1,0)</x:f>
        <x:v>0</x:v>
      </x:c>
      <x:c r="S563" t="n">
        <x:f>IF(AND(M563=1,J563&lt;&gt;"Ninguna"),1,0)</x:f>
        <x:v>0</x:v>
      </x:c>
    </x:row>
    <x:row r="564">
      <x:c r="A564" t="str">
        <x:v>PED-0563</x:v>
      </x:c>
      <x:c r="B564" s="12" t="n">
        <x:v>46275</x:v>
      </x:c>
      <x:c r="C564" t="str">
        <x:v>MetalNova</x:v>
      </x:c>
      <x:c r="D564" t="str">
        <x:v>Materia prima</x:v>
      </x:c>
      <x:c r="E564" s="10" t="n">
        <x:v>1211.95</x:v>
      </x:c>
      <x:c r="F564" s="12" t="n">
        <x:v>46284</x:v>
      </x:c>
      <x:c r="G564" s="12" t="n">
        <x:v>46287</x:v>
      </x:c>
      <x:c r="H564" t="n">
        <x:v>67</x:v>
      </x:c>
      <x:c r="I564" t="n">
        <x:v>0</x:v>
      </x:c>
      <x:c r="J564" t="str">
        <x:v>Daño transporte</x:v>
      </x:c>
      <x:c r="K564" t="str">
        <x:v>No</x:v>
      </x:c>
      <x:c r="L564" t="str">
        <x:v>Zaragoza</x:v>
      </x:c>
      <x:c r="M564" t="n">
        <x:f>IF(AND(B564&gt;=DATE(2026,7,1),B564&lt;=DATE(2026,9,30),G564&gt;=DATE(2026,7,1),G564&lt;=DATE(2026,9,30)),1,0)</x:f>
        <x:v>1</x:v>
      </x:c>
      <x:c r="N564" t="n">
        <x:f>IF(M564=1,IF(G564&lt;=F564,1,0),0)</x:f>
        <x:v>0</x:v>
      </x:c>
      <x:c r="O564" t="n">
        <x:f>IF(AND(M564=1,K564="Sí",G564&gt;F564),1,0)</x:f>
        <x:v>0</x:v>
      </x:c>
      <x:c r="P564" t="n">
        <x:f>IF(AND(M564=1,I564&gt;0),1,0)</x:f>
        <x:v>0</x:v>
      </x:c>
      <x:c r="Q564" t="n">
        <x:f>IF(AND(B564&gt;=DATE(2026,7,1),B564&lt;=DATE(2026,9,30),G564&gt;=DATE(2026,10,1),G564&lt;=DATE(2026,10,7)),1,0)</x:f>
        <x:v>0</x:v>
      </x:c>
      <x:c r="R564" t="n">
        <x:f>IF(AND(B564&gt;=DATE(2026,7,1),B564&lt;=DATE(2026,9,30),G564&gt;DATE(2026,10,7)),1,0)</x:f>
        <x:v>0</x:v>
      </x:c>
      <x:c r="S564" t="n">
        <x:f>IF(AND(M564=1,J564&lt;&gt;"Ninguna"),1,0)</x:f>
        <x:v>1</x:v>
      </x:c>
    </x:row>
    <x:row r="565">
      <x:c r="A565" t="str">
        <x:v>PED-0564</x:v>
      </x:c>
      <x:c r="B565" s="12" t="n">
        <x:v>46284</x:v>
      </x:c>
      <x:c r="C565" t="str">
        <x:v>ElectraSupply</x:v>
      </x:c>
      <x:c r="D565" t="str">
        <x:v>Componentes eléctricos</x:v>
      </x:c>
      <x:c r="E565" s="10" t="n">
        <x:v>6802.31</x:v>
      </x:c>
      <x:c r="F565" s="12" t="n">
        <x:v>46298</x:v>
      </x:c>
      <x:c r="G565" s="12" t="n">
        <x:v>46301</x:v>
      </x:c>
      <x:c r="H565" t="n">
        <x:v>198</x:v>
      </x:c>
      <x:c r="I565" t="n">
        <x:v>0</x:v>
      </x:c>
      <x:c r="J565" t="str">
        <x:v>Ninguna</x:v>
      </x:c>
      <x:c r="K565" t="str">
        <x:v>No</x:v>
      </x:c>
      <x:c r="L565" t="str">
        <x:v>Barcelona</x:v>
      </x:c>
      <x:c r="M565" t="n">
        <x:f>IF(AND(B565&gt;=DATE(2026,7,1),B565&lt;=DATE(2026,9,30),G565&gt;=DATE(2026,7,1),G565&lt;=DATE(2026,9,30)),1,0)</x:f>
        <x:v>0</x:v>
      </x:c>
      <x:c r="N565" t="n">
        <x:f>IF(M565=1,IF(G565&lt;=F565,1,0),0)</x:f>
        <x:v>0</x:v>
      </x:c>
      <x:c r="O565" t="n">
        <x:f>IF(AND(M565=1,K565="Sí",G565&gt;F565),1,0)</x:f>
        <x:v>0</x:v>
      </x:c>
      <x:c r="P565" t="n">
        <x:f>IF(AND(M565=1,I565&gt;0),1,0)</x:f>
        <x:v>0</x:v>
      </x:c>
      <x:c r="Q565" t="n">
        <x:f>IF(AND(B565&gt;=DATE(2026,7,1),B565&lt;=DATE(2026,9,30),G565&gt;=DATE(2026,10,1),G565&lt;=DATE(2026,10,7)),1,0)</x:f>
        <x:v>1</x:v>
      </x:c>
      <x:c r="R565" t="n">
        <x:f>IF(AND(B565&gt;=DATE(2026,7,1),B565&lt;=DATE(2026,9,30),G565&gt;DATE(2026,10,7)),1,0)</x:f>
        <x:v>0</x:v>
      </x:c>
      <x:c r="S565" t="n">
        <x:f>IF(AND(M565=1,J565&lt;&gt;"Ninguna"),1,0)</x:f>
        <x:v>0</x:v>
      </x:c>
    </x:row>
    <x:row r="566">
      <x:c r="A566" t="str">
        <x:v>PED-0565</x:v>
      </x:c>
      <x:c r="B566" s="12" t="n">
        <x:v>46256</x:v>
      </x:c>
      <x:c r="C566" t="str">
        <x:v>ElectraSupply</x:v>
      </x:c>
      <x:c r="D566" t="str">
        <x:v>Componentes eléctricos</x:v>
      </x:c>
      <x:c r="E566" s="10" t="n">
        <x:v>10067.01</x:v>
      </x:c>
      <x:c r="F566" s="12" t="n">
        <x:v>46267</x:v>
      </x:c>
      <x:c r="G566" s="12" t="n">
        <x:v>46268</x:v>
      </x:c>
      <x:c r="H566" t="n">
        <x:v>259</x:v>
      </x:c>
      <x:c r="I566" t="n">
        <x:v>0</x:v>
      </x:c>
      <x:c r="J566" t="str">
        <x:v>Ninguna</x:v>
      </x:c>
      <x:c r="K566" t="str">
        <x:v>No</x:v>
      </x:c>
      <x:c r="L566" t="str">
        <x:v>Barcelona</x:v>
      </x:c>
      <x:c r="M566" t="n">
        <x:f>IF(AND(B566&gt;=DATE(2026,7,1),B566&lt;=DATE(2026,9,30),G566&gt;=DATE(2026,7,1),G566&lt;=DATE(2026,9,30)),1,0)</x:f>
        <x:v>1</x:v>
      </x:c>
      <x:c r="N566" t="n">
        <x:f>IF(M566=1,IF(G566&lt;=F566,1,0),0)</x:f>
        <x:v>0</x:v>
      </x:c>
      <x:c r="O566" t="n">
        <x:f>IF(AND(M566=1,K566="Sí",G566&gt;F566),1,0)</x:f>
        <x:v>0</x:v>
      </x:c>
      <x:c r="P566" t="n">
        <x:f>IF(AND(M566=1,I566&gt;0),1,0)</x:f>
        <x:v>0</x:v>
      </x:c>
      <x:c r="Q566" t="n">
        <x:f>IF(AND(B566&gt;=DATE(2026,7,1),B566&lt;=DATE(2026,9,30),G566&gt;=DATE(2026,10,1),G566&lt;=DATE(2026,10,7)),1,0)</x:f>
        <x:v>0</x:v>
      </x:c>
      <x:c r="R566" t="n">
        <x:f>IF(AND(B566&gt;=DATE(2026,7,1),B566&lt;=DATE(2026,9,30),G566&gt;DATE(2026,10,7)),1,0)</x:f>
        <x:v>0</x:v>
      </x:c>
      <x:c r="S566" t="n">
        <x:f>IF(AND(M566=1,J566&lt;&gt;"Ninguna"),1,0)</x:f>
        <x:v>0</x:v>
      </x:c>
    </x:row>
    <x:row r="567">
      <x:c r="A567" t="str">
        <x:v>PED-0566</x:v>
      </x:c>
      <x:c r="B567" s="12" t="n">
        <x:v>46211</x:v>
      </x:c>
      <x:c r="C567" t="str">
        <x:v>MetalNova</x:v>
      </x:c>
      <x:c r="D567" t="str">
        <x:v>Materia prima</x:v>
      </x:c>
      <x:c r="E567" s="10" t="n">
        <x:v>18480.18</x:v>
      </x:c>
      <x:c r="F567" s="12" t="n">
        <x:v>46220</x:v>
      </x:c>
      <x:c r="G567" s="12" t="n">
        <x:v>46223</x:v>
      </x:c>
      <x:c r="H567" t="n">
        <x:v>358</x:v>
      </x:c>
      <x:c r="I567" t="n">
        <x:v>21</x:v>
      </x:c>
      <x:c r="J567" t="str">
        <x:v>Ninguna</x:v>
      </x:c>
      <x:c r="K567" t="str">
        <x:v>No</x:v>
      </x:c>
      <x:c r="L567" t="str">
        <x:v>Valencia</x:v>
      </x:c>
      <x:c r="M567" t="n">
        <x:f>IF(AND(B567&gt;=DATE(2026,7,1),B567&lt;=DATE(2026,9,30),G567&gt;=DATE(2026,7,1),G567&lt;=DATE(2026,9,30)),1,0)</x:f>
        <x:v>1</x:v>
      </x:c>
      <x:c r="N567" t="n">
        <x:f>IF(M567=1,IF(G567&lt;=F567,1,0),0)</x:f>
        <x:v>0</x:v>
      </x:c>
      <x:c r="O567" t="n">
        <x:f>IF(AND(M567=1,K567="Sí",G567&gt;F567),1,0)</x:f>
        <x:v>0</x:v>
      </x:c>
      <x:c r="P567" t="n">
        <x:f>IF(AND(M567=1,I567&gt;0),1,0)</x:f>
        <x:v>1</x:v>
      </x:c>
      <x:c r="Q567" t="n">
        <x:f>IF(AND(B567&gt;=DATE(2026,7,1),B567&lt;=DATE(2026,9,30),G567&gt;=DATE(2026,10,1),G567&lt;=DATE(2026,10,7)),1,0)</x:f>
        <x:v>0</x:v>
      </x:c>
      <x:c r="R567" t="n">
        <x:f>IF(AND(B567&gt;=DATE(2026,7,1),B567&lt;=DATE(2026,9,30),G567&gt;DATE(2026,10,7)),1,0)</x:f>
        <x:v>0</x:v>
      </x:c>
      <x:c r="S567" t="n">
        <x:f>IF(AND(M567=1,J567&lt;&gt;"Ninguna"),1,0)</x:f>
        <x:v>0</x:v>
      </x:c>
    </x:row>
    <x:row r="568">
      <x:c r="A568" t="str">
        <x:v>PED-0567</x:v>
      </x:c>
      <x:c r="B568" s="12" t="n">
        <x:v>46276</x:v>
      </x:c>
      <x:c r="C568" t="str">
        <x:v>PackPro</x:v>
      </x:c>
      <x:c r="D568" t="str">
        <x:v>Embalaje</x:v>
      </x:c>
      <x:c r="E568" s="10" t="n">
        <x:v>2490.3</x:v>
      </x:c>
      <x:c r="F568" s="12" t="n">
        <x:v>46282</x:v>
      </x:c>
      <x:c r="G568" s="12" t="n">
        <x:v>46283</x:v>
      </x:c>
      <x:c r="H568" t="n">
        <x:v>54</x:v>
      </x:c>
      <x:c r="I568" t="n">
        <x:v>0</x:v>
      </x:c>
      <x:c r="J568" t="str">
        <x:v>Ninguna</x:v>
      </x:c>
      <x:c r="K568" t="str">
        <x:v>No</x:v>
      </x:c>
      <x:c r="L568" t="str">
        <x:v>Zaragoza</x:v>
      </x:c>
      <x:c r="M568" t="n">
        <x:f>IF(AND(B568&gt;=DATE(2026,7,1),B568&lt;=DATE(2026,9,30),G568&gt;=DATE(2026,7,1),G568&lt;=DATE(2026,9,30)),1,0)</x:f>
        <x:v>1</x:v>
      </x:c>
      <x:c r="N568" t="n">
        <x:f>IF(M568=1,IF(G568&lt;=F568,1,0),0)</x:f>
        <x:v>0</x:v>
      </x:c>
      <x:c r="O568" t="n">
        <x:f>IF(AND(M568=1,K568="Sí",G568&gt;F568),1,0)</x:f>
        <x:v>0</x:v>
      </x:c>
      <x:c r="P568" t="n">
        <x:f>IF(AND(M568=1,I568&gt;0),1,0)</x:f>
        <x:v>0</x:v>
      </x:c>
      <x:c r="Q568" t="n">
        <x:f>IF(AND(B568&gt;=DATE(2026,7,1),B568&lt;=DATE(2026,9,30),G568&gt;=DATE(2026,10,1),G568&lt;=DATE(2026,10,7)),1,0)</x:f>
        <x:v>0</x:v>
      </x:c>
      <x:c r="R568" t="n">
        <x:f>IF(AND(B568&gt;=DATE(2026,7,1),B568&lt;=DATE(2026,9,30),G568&gt;DATE(2026,10,7)),1,0)</x:f>
        <x:v>0</x:v>
      </x:c>
      <x:c r="S568" t="n">
        <x:f>IF(AND(M568=1,J568&lt;&gt;"Ninguna"),1,0)</x:f>
        <x:v>0</x:v>
      </x:c>
    </x:row>
    <x:row r="569">
      <x:c r="A569" t="str">
        <x:v>PED-0568</x:v>
      </x:c>
      <x:c r="B569" s="12" t="n">
        <x:v>46279</x:v>
      </x:c>
      <x:c r="C569" t="str">
        <x:v>MecaParts</x:v>
      </x:c>
      <x:c r="D569" t="str">
        <x:v>Componentes mecánicos</x:v>
      </x:c>
      <x:c r="E569" s="10" t="n">
        <x:v>3231.89</x:v>
      </x:c>
      <x:c r="F569" s="12" t="n">
        <x:v>46289</x:v>
      </x:c>
      <x:c r="G569" s="12" t="n">
        <x:v>46292</x:v>
      </x:c>
      <x:c r="H569" t="n">
        <x:v>273</x:v>
      </x:c>
      <x:c r="I569" t="n">
        <x:v>0</x:v>
      </x:c>
      <x:c r="J569" t="str">
        <x:v>Ninguna</x:v>
      </x:c>
      <x:c r="K569" t="str">
        <x:v>No</x:v>
      </x:c>
      <x:c r="L569" t="str">
        <x:v>Barcelona</x:v>
      </x:c>
      <x:c r="M569" t="n">
        <x:f>IF(AND(B569&gt;=DATE(2026,7,1),B569&lt;=DATE(2026,9,30),G569&gt;=DATE(2026,7,1),G569&lt;=DATE(2026,9,30)),1,0)</x:f>
        <x:v>1</x:v>
      </x:c>
      <x:c r="N569" t="n">
        <x:f>IF(M569=1,IF(G569&lt;=F569,1,0),0)</x:f>
        <x:v>0</x:v>
      </x:c>
      <x:c r="O569" t="n">
        <x:f>IF(AND(M569=1,K569="Sí",G569&gt;F569),1,0)</x:f>
        <x:v>0</x:v>
      </x:c>
      <x:c r="P569" t="n">
        <x:f>IF(AND(M569=1,I569&gt;0),1,0)</x:f>
        <x:v>0</x:v>
      </x:c>
      <x:c r="Q569" t="n">
        <x:f>IF(AND(B569&gt;=DATE(2026,7,1),B569&lt;=DATE(2026,9,30),G569&gt;=DATE(2026,10,1),G569&lt;=DATE(2026,10,7)),1,0)</x:f>
        <x:v>0</x:v>
      </x:c>
      <x:c r="R569" t="n">
        <x:f>IF(AND(B569&gt;=DATE(2026,7,1),B569&lt;=DATE(2026,9,30),G569&gt;DATE(2026,10,7)),1,0)</x:f>
        <x:v>0</x:v>
      </x:c>
      <x:c r="S569" t="n">
        <x:f>IF(AND(M569=1,J569&lt;&gt;"Ninguna"),1,0)</x:f>
        <x:v>0</x:v>
      </x:c>
    </x:row>
    <x:row r="570">
      <x:c r="A570" t="str">
        <x:v>PED-0569</x:v>
      </x:c>
      <x:c r="B570" s="12" t="n">
        <x:v>46215</x:v>
      </x:c>
      <x:c r="C570" t="str">
        <x:v>PackPro</x:v>
      </x:c>
      <x:c r="D570" t="str">
        <x:v>Embalaje</x:v>
      </x:c>
      <x:c r="E570" s="10" t="n">
        <x:v>3731.14</x:v>
      </x:c>
      <x:c r="F570" s="12" t="n">
        <x:v>46222</x:v>
      </x:c>
      <x:c r="G570" s="12" t="n">
        <x:v>46220</x:v>
      </x:c>
      <x:c r="H570" t="n">
        <x:v>332</x:v>
      </x:c>
      <x:c r="I570" t="n">
        <x:v>0</x:v>
      </x:c>
      <x:c r="J570" t="str">
        <x:v>Ninguna</x:v>
      </x:c>
      <x:c r="K570" t="str">
        <x:v>No</x:v>
      </x:c>
      <x:c r="L570" t="str">
        <x:v>Barcelona</x:v>
      </x:c>
      <x:c r="M570" t="n">
        <x:f>IF(AND(B570&gt;=DATE(2026,7,1),B570&lt;=DATE(2026,9,30),G570&gt;=DATE(2026,7,1),G570&lt;=DATE(2026,9,30)),1,0)</x:f>
        <x:v>1</x:v>
      </x:c>
      <x:c r="N570" t="n">
        <x:f>IF(M570=1,IF(G570&lt;=F570,1,0),0)</x:f>
        <x:v>1</x:v>
      </x:c>
      <x:c r="O570" t="n">
        <x:f>IF(AND(M570=1,K570="Sí",G570&gt;F570),1,0)</x:f>
        <x:v>0</x:v>
      </x:c>
      <x:c r="P570" t="n">
        <x:f>IF(AND(M570=1,I570&gt;0),1,0)</x:f>
        <x:v>0</x:v>
      </x:c>
      <x:c r="Q570" t="n">
        <x:f>IF(AND(B570&gt;=DATE(2026,7,1),B570&lt;=DATE(2026,9,30),G570&gt;=DATE(2026,10,1),G570&lt;=DATE(2026,10,7)),1,0)</x:f>
        <x:v>0</x:v>
      </x:c>
      <x:c r="R570" t="n">
        <x:f>IF(AND(B570&gt;=DATE(2026,7,1),B570&lt;=DATE(2026,9,30),G570&gt;DATE(2026,10,7)),1,0)</x:f>
        <x:v>0</x:v>
      </x:c>
      <x:c r="S570" t="n">
        <x:f>IF(AND(M570=1,J570&lt;&gt;"Ninguna"),1,0)</x:f>
        <x:v>0</x:v>
      </x:c>
    </x:row>
    <x:row r="571">
      <x:c r="A571" t="str">
        <x:v>PED-0570</x:v>
      </x:c>
      <x:c r="B571" s="12" t="n">
        <x:v>46243</x:v>
      </x:c>
      <x:c r="C571" t="str">
        <x:v>ElectraSupply</x:v>
      </x:c>
      <x:c r="D571" t="str">
        <x:v>Componentes eléctricos</x:v>
      </x:c>
      <x:c r="E571" s="10" t="n">
        <x:v>10591.67</x:v>
      </x:c>
      <x:c r="F571" s="12" t="n">
        <x:v>46256</x:v>
      </x:c>
      <x:c r="G571" s="12" t="n">
        <x:v>46261</x:v>
      </x:c>
      <x:c r="H571" t="n">
        <x:v>236</x:v>
      </x:c>
      <x:c r="I571" t="n">
        <x:v>0</x:v>
      </x:c>
      <x:c r="J571" t="str">
        <x:v>Cantidad incorrecta</x:v>
      </x:c>
      <x:c r="K571" t="str">
        <x:v>No</x:v>
      </x:c>
      <x:c r="L571" t="str">
        <x:v>Zaragoza</x:v>
      </x:c>
      <x:c r="M571" t="n">
        <x:f>IF(AND(B571&gt;=DATE(2026,7,1),B571&lt;=DATE(2026,9,30),G571&gt;=DATE(2026,7,1),G571&lt;=DATE(2026,9,30)),1,0)</x:f>
        <x:v>1</x:v>
      </x:c>
      <x:c r="N571" t="n">
        <x:f>IF(M571=1,IF(G571&lt;=F571,1,0),0)</x:f>
        <x:v>0</x:v>
      </x:c>
      <x:c r="O571" t="n">
        <x:f>IF(AND(M571=1,K571="Sí",G571&gt;F571),1,0)</x:f>
        <x:v>0</x:v>
      </x:c>
      <x:c r="P571" t="n">
        <x:f>IF(AND(M571=1,I571&gt;0),1,0)</x:f>
        <x:v>0</x:v>
      </x:c>
      <x:c r="Q571" t="n">
        <x:f>IF(AND(B571&gt;=DATE(2026,7,1),B571&lt;=DATE(2026,9,30),G571&gt;=DATE(2026,10,1),G571&lt;=DATE(2026,10,7)),1,0)</x:f>
        <x:v>0</x:v>
      </x:c>
      <x:c r="R571" t="n">
        <x:f>IF(AND(B571&gt;=DATE(2026,7,1),B571&lt;=DATE(2026,9,30),G571&gt;DATE(2026,10,7)),1,0)</x:f>
        <x:v>0</x:v>
      </x:c>
      <x:c r="S571" t="n">
        <x:f>IF(AND(M571=1,J571&lt;&gt;"Ninguna"),1,0)</x:f>
        <x:v>1</x:v>
      </x:c>
    </x:row>
    <x:row r="572">
      <x:c r="A572" t="str">
        <x:v>PED-0571</x:v>
      </x:c>
      <x:c r="B572" s="12" t="n">
        <x:v>46219</x:v>
      </x:c>
      <x:c r="C572" t="str">
        <x:v>MetalNova</x:v>
      </x:c>
      <x:c r="D572" t="str">
        <x:v>Materia prima</x:v>
      </x:c>
      <x:c r="E572" s="10" t="n">
        <x:v>15779.69</x:v>
      </x:c>
      <x:c r="F572" s="12" t="n">
        <x:v>46228</x:v>
      </x:c>
      <x:c r="G572" s="12" t="n">
        <x:v>46229</x:v>
      </x:c>
      <x:c r="H572" t="n">
        <x:v>369</x:v>
      </x:c>
      <x:c r="I572" t="n">
        <x:v>0</x:v>
      </x:c>
      <x:c r="J572" t="str">
        <x:v>Ninguna</x:v>
      </x:c>
      <x:c r="K572" t="str">
        <x:v>No</x:v>
      </x:c>
      <x:c r="L572" t="str">
        <x:v>Zaragoza</x:v>
      </x:c>
      <x:c r="M572" t="n">
        <x:f>IF(AND(B572&gt;=DATE(2026,7,1),B572&lt;=DATE(2026,9,30),G572&gt;=DATE(2026,7,1),G572&lt;=DATE(2026,9,30)),1,0)</x:f>
        <x:v>1</x:v>
      </x:c>
      <x:c r="N572" t="n">
        <x:f>IF(M572=1,IF(G572&lt;=F572,1,0),0)</x:f>
        <x:v>0</x:v>
      </x:c>
      <x:c r="O572" t="n">
        <x:f>IF(AND(M572=1,K572="Sí",G572&gt;F572),1,0)</x:f>
        <x:v>0</x:v>
      </x:c>
      <x:c r="P572" t="n">
        <x:f>IF(AND(M572=1,I572&gt;0),1,0)</x:f>
        <x:v>0</x:v>
      </x:c>
      <x:c r="Q572" t="n">
        <x:f>IF(AND(B572&gt;=DATE(2026,7,1),B572&lt;=DATE(2026,9,30),G572&gt;=DATE(2026,10,1),G572&lt;=DATE(2026,10,7)),1,0)</x:f>
        <x:v>0</x:v>
      </x:c>
      <x:c r="R572" t="n">
        <x:f>IF(AND(B572&gt;=DATE(2026,7,1),B572&lt;=DATE(2026,9,30),G572&gt;DATE(2026,10,7)),1,0)</x:f>
        <x:v>0</x:v>
      </x:c>
      <x:c r="S572" t="n">
        <x:f>IF(AND(M572=1,J572&lt;&gt;"Ninguna"),1,0)</x:f>
        <x:v>0</x:v>
      </x:c>
    </x:row>
    <x:row r="573">
      <x:c r="A573" t="str">
        <x:v>PED-0572</x:v>
      </x:c>
      <x:c r="B573" s="12" t="n">
        <x:v>46237</x:v>
      </x:c>
      <x:c r="C573" t="str">
        <x:v>ElectraSupply</x:v>
      </x:c>
      <x:c r="D573" t="str">
        <x:v>Componentes eléctricos</x:v>
      </x:c>
      <x:c r="E573" s="10" t="n">
        <x:v>10720.21</x:v>
      </x:c>
      <x:c r="F573" s="12" t="n">
        <x:v>46248</x:v>
      </x:c>
      <x:c r="G573" s="12" t="n">
        <x:v>46256</x:v>
      </x:c>
      <x:c r="H573" t="n">
        <x:v>372</x:v>
      </x:c>
      <x:c r="I573" t="n">
        <x:v>0</x:v>
      </x:c>
      <x:c r="J573" t="str">
        <x:v>Retraso</x:v>
      </x:c>
      <x:c r="K573" t="str">
        <x:v>No</x:v>
      </x:c>
      <x:c r="L573" t="str">
        <x:v>Valencia</x:v>
      </x:c>
      <x:c r="M573" t="n">
        <x:f>IF(AND(B573&gt;=DATE(2026,7,1),B573&lt;=DATE(2026,9,30),G573&gt;=DATE(2026,7,1),G573&lt;=DATE(2026,9,30)),1,0)</x:f>
        <x:v>1</x:v>
      </x:c>
      <x:c r="N573" t="n">
        <x:f>IF(M573=1,IF(G573&lt;=F573,1,0),0)</x:f>
        <x:v>0</x:v>
      </x:c>
      <x:c r="O573" t="n">
        <x:f>IF(AND(M573=1,K573="Sí",G573&gt;F573),1,0)</x:f>
        <x:v>0</x:v>
      </x:c>
      <x:c r="P573" t="n">
        <x:f>IF(AND(M573=1,I573&gt;0),1,0)</x:f>
        <x:v>0</x:v>
      </x:c>
      <x:c r="Q573" t="n">
        <x:f>IF(AND(B573&gt;=DATE(2026,7,1),B573&lt;=DATE(2026,9,30),G573&gt;=DATE(2026,10,1),G573&lt;=DATE(2026,10,7)),1,0)</x:f>
        <x:v>0</x:v>
      </x:c>
      <x:c r="R573" t="n">
        <x:f>IF(AND(B573&gt;=DATE(2026,7,1),B573&lt;=DATE(2026,9,30),G573&gt;DATE(2026,10,7)),1,0)</x:f>
        <x:v>0</x:v>
      </x:c>
      <x:c r="S573" t="n">
        <x:f>IF(AND(M573=1,J573&lt;&gt;"Ninguna"),1,0)</x:f>
        <x:v>1</x:v>
      </x:c>
    </x:row>
    <x:row r="574">
      <x:c r="A574" t="str">
        <x:v>PED-0573</x:v>
      </x:c>
      <x:c r="B574" s="12" t="n">
        <x:v>46268</x:v>
      </x:c>
      <x:c r="C574" t="str">
        <x:v>PackPro</x:v>
      </x:c>
      <x:c r="D574" t="str">
        <x:v>Embalaje</x:v>
      </x:c>
      <x:c r="E574" s="10" t="n">
        <x:v>4511.23</x:v>
      </x:c>
      <x:c r="F574" s="12" t="n">
        <x:v>46276</x:v>
      </x:c>
      <x:c r="G574" s="12" t="n">
        <x:v>46277</x:v>
      </x:c>
      <x:c r="H574" t="n">
        <x:v>362</x:v>
      </x:c>
      <x:c r="I574" t="n">
        <x:v>47</x:v>
      </x:c>
      <x:c r="J574" t="str">
        <x:v>Calidad</x:v>
      </x:c>
      <x:c r="K574" t="str">
        <x:v>No</x:v>
      </x:c>
      <x:c r="L574" t="str">
        <x:v>Barcelona</x:v>
      </x:c>
      <x:c r="M574" t="n">
        <x:f>IF(AND(B574&gt;=DATE(2026,7,1),B574&lt;=DATE(2026,9,30),G574&gt;=DATE(2026,7,1),G574&lt;=DATE(2026,9,30)),1,0)</x:f>
        <x:v>1</x:v>
      </x:c>
      <x:c r="N574" t="n">
        <x:f>IF(M574=1,IF(G574&lt;=F574,1,0),0)</x:f>
        <x:v>0</x:v>
      </x:c>
      <x:c r="O574" t="n">
        <x:f>IF(AND(M574=1,K574="Sí",G574&gt;F574),1,0)</x:f>
        <x:v>0</x:v>
      </x:c>
      <x:c r="P574" t="n">
        <x:f>IF(AND(M574=1,I574&gt;0),1,0)</x:f>
        <x:v>1</x:v>
      </x:c>
      <x:c r="Q574" t="n">
        <x:f>IF(AND(B574&gt;=DATE(2026,7,1),B574&lt;=DATE(2026,9,30),G574&gt;=DATE(2026,10,1),G574&lt;=DATE(2026,10,7)),1,0)</x:f>
        <x:v>0</x:v>
      </x:c>
      <x:c r="R574" t="n">
        <x:f>IF(AND(B574&gt;=DATE(2026,7,1),B574&lt;=DATE(2026,9,30),G574&gt;DATE(2026,10,7)),1,0)</x:f>
        <x:v>0</x:v>
      </x:c>
      <x:c r="S574" t="n">
        <x:f>IF(AND(M574=1,J574&lt;&gt;"Ninguna"),1,0)</x:f>
        <x:v>1</x:v>
      </x:c>
    </x:row>
    <x:row r="575">
      <x:c r="A575" t="str">
        <x:v>PED-0574</x:v>
      </x:c>
      <x:c r="B575" s="12" t="n">
        <x:v>46218</x:v>
      </x:c>
      <x:c r="C575" t="str">
        <x:v>ElectraSupply</x:v>
      </x:c>
      <x:c r="D575" t="str">
        <x:v>Componentes eléctricos</x:v>
      </x:c>
      <x:c r="E575" s="10" t="n">
        <x:v>2830.59</x:v>
      </x:c>
      <x:c r="F575" s="12" t="n">
        <x:v>46230</x:v>
      </x:c>
      <x:c r="G575" s="12" t="n">
        <x:v>46236</x:v>
      </x:c>
      <x:c r="H575" t="n">
        <x:v>367</x:v>
      </x:c>
      <x:c r="I575" t="n">
        <x:v>0</x:v>
      </x:c>
      <x:c r="J575" t="str">
        <x:v>Ninguna</x:v>
      </x:c>
      <x:c r="K575" t="str">
        <x:v>Sí</x:v>
      </x:c>
      <x:c r="L575" t="str">
        <x:v>Zaragoza</x:v>
      </x:c>
      <x:c r="M575" t="n">
        <x:f>IF(AND(B575&gt;=DATE(2026,7,1),B575&lt;=DATE(2026,9,30),G575&gt;=DATE(2026,7,1),G575&lt;=DATE(2026,9,30)),1,0)</x:f>
        <x:v>1</x:v>
      </x:c>
      <x:c r="N575" t="n">
        <x:f>IF(M575=1,IF(G575&lt;=F575,1,0),0)</x:f>
        <x:v>0</x:v>
      </x:c>
      <x:c r="O575" t="n">
        <x:f>IF(AND(M575=1,K575="Sí",G575&gt;F575),1,0)</x:f>
        <x:v>1</x:v>
      </x:c>
      <x:c r="P575" t="n">
        <x:f>IF(AND(M575=1,I575&gt;0),1,0)</x:f>
        <x:v>0</x:v>
      </x:c>
      <x:c r="Q575" t="n">
        <x:f>IF(AND(B575&gt;=DATE(2026,7,1),B575&lt;=DATE(2026,9,30),G575&gt;=DATE(2026,10,1),G575&lt;=DATE(2026,10,7)),1,0)</x:f>
        <x:v>0</x:v>
      </x:c>
      <x:c r="R575" t="n">
        <x:f>IF(AND(B575&gt;=DATE(2026,7,1),B575&lt;=DATE(2026,9,30),G575&gt;DATE(2026,10,7)),1,0)</x:f>
        <x:v>0</x:v>
      </x:c>
      <x:c r="S575" t="n">
        <x:f>IF(AND(M575=1,J575&lt;&gt;"Ninguna"),1,0)</x:f>
        <x:v>0</x:v>
      </x:c>
    </x:row>
    <x:row r="576">
      <x:c r="A576" t="str">
        <x:v>PED-0575</x:v>
      </x:c>
      <x:c r="B576" s="12" t="n">
        <x:v>46285</x:v>
      </x:c>
      <x:c r="C576" t="str">
        <x:v>MetalNova</x:v>
      </x:c>
      <x:c r="D576" t="str">
        <x:v>Componentes mecánicos</x:v>
      </x:c>
      <x:c r="E576" s="10" t="n">
        <x:v>11358.16</x:v>
      </x:c>
      <x:c r="F576" s="12" t="n">
        <x:v>46297</x:v>
      </x:c>
      <x:c r="G576" s="12" t="n">
        <x:v>46298</x:v>
      </x:c>
      <x:c r="H576" t="n">
        <x:v>268</x:v>
      </x:c>
      <x:c r="I576" t="n">
        <x:v>0</x:v>
      </x:c>
      <x:c r="J576" t="str">
        <x:v>Ninguna</x:v>
      </x:c>
      <x:c r="K576" t="str">
        <x:v>Sí</x:v>
      </x:c>
      <x:c r="L576" t="str">
        <x:v>Zaragoza</x:v>
      </x:c>
      <x:c r="M576" t="n">
        <x:f>IF(AND(B576&gt;=DATE(2026,7,1),B576&lt;=DATE(2026,9,30),G576&gt;=DATE(2026,7,1),G576&lt;=DATE(2026,9,30)),1,0)</x:f>
        <x:v>0</x:v>
      </x:c>
      <x:c r="N576" t="n">
        <x:f>IF(M576=1,IF(G576&lt;=F576,1,0),0)</x:f>
        <x:v>0</x:v>
      </x:c>
      <x:c r="O576" t="n">
        <x:f>IF(AND(M576=1,K576="Sí",G576&gt;F576),1,0)</x:f>
        <x:v>0</x:v>
      </x:c>
      <x:c r="P576" t="n">
        <x:f>IF(AND(M576=1,I576&gt;0),1,0)</x:f>
        <x:v>0</x:v>
      </x:c>
      <x:c r="Q576" t="n">
        <x:f>IF(AND(B576&gt;=DATE(2026,7,1),B576&lt;=DATE(2026,9,30),G576&gt;=DATE(2026,10,1),G576&lt;=DATE(2026,10,7)),1,0)</x:f>
        <x:v>1</x:v>
      </x:c>
      <x:c r="R576" t="n">
        <x:f>IF(AND(B576&gt;=DATE(2026,7,1),B576&lt;=DATE(2026,9,30),G576&gt;DATE(2026,10,7)),1,0)</x:f>
        <x:v>0</x:v>
      </x:c>
      <x:c r="S576" t="n">
        <x:f>IF(AND(M576=1,J576&lt;&gt;"Ninguna"),1,0)</x:f>
        <x:v>0</x:v>
      </x:c>
    </x:row>
    <x:row r="577">
      <x:c r="A577" t="str">
        <x:v>PED-0576</x:v>
      </x:c>
      <x:c r="B577" s="12" t="n">
        <x:v>46266</x:v>
      </x:c>
      <x:c r="C577" t="str">
        <x:v>MecaParts</x:v>
      </x:c>
      <x:c r="D577" t="str">
        <x:v>Componentes mecánicos</x:v>
      </x:c>
      <x:c r="E577" s="10" t="n">
        <x:v>13136.16</x:v>
      </x:c>
      <x:c r="F577" s="12" t="n">
        <x:v>46277</x:v>
      </x:c>
      <x:c r="G577" s="12" t="n">
        <x:v>46282</x:v>
      </x:c>
      <x:c r="H577" t="n">
        <x:v>347</x:v>
      </x:c>
      <x:c r="I577" t="n">
        <x:v>0</x:v>
      </x:c>
      <x:c r="J577" t="str">
        <x:v>Retraso</x:v>
      </x:c>
      <x:c r="K577" t="str">
        <x:v>No</x:v>
      </x:c>
      <x:c r="L577" t="str">
        <x:v>Valencia</x:v>
      </x:c>
      <x:c r="M577" t="n">
        <x:f>IF(AND(B577&gt;=DATE(2026,7,1),B577&lt;=DATE(2026,9,30),G577&gt;=DATE(2026,7,1),G577&lt;=DATE(2026,9,30)),1,0)</x:f>
        <x:v>1</x:v>
      </x:c>
      <x:c r="N577" t="n">
        <x:f>IF(M577=1,IF(G577&lt;=F577,1,0),0)</x:f>
        <x:v>0</x:v>
      </x:c>
      <x:c r="O577" t="n">
        <x:f>IF(AND(M577=1,K577="Sí",G577&gt;F577),1,0)</x:f>
        <x:v>0</x:v>
      </x:c>
      <x:c r="P577" t="n">
        <x:f>IF(AND(M577=1,I577&gt;0),1,0)</x:f>
        <x:v>0</x:v>
      </x:c>
      <x:c r="Q577" t="n">
        <x:f>IF(AND(B577&gt;=DATE(2026,7,1),B577&lt;=DATE(2026,9,30),G577&gt;=DATE(2026,10,1),G577&lt;=DATE(2026,10,7)),1,0)</x:f>
        <x:v>0</x:v>
      </x:c>
      <x:c r="R577" t="n">
        <x:f>IF(AND(B577&gt;=DATE(2026,7,1),B577&lt;=DATE(2026,9,30),G577&gt;DATE(2026,10,7)),1,0)</x:f>
        <x:v>0</x:v>
      </x:c>
      <x:c r="S577" t="n">
        <x:f>IF(AND(M577=1,J577&lt;&gt;"Ninguna"),1,0)</x:f>
        <x:v>1</x:v>
      </x:c>
    </x:row>
    <x:row r="578">
      <x:c r="A578" t="str">
        <x:v>PED-0577</x:v>
      </x:c>
      <x:c r="B578" s="12" t="n">
        <x:v>46281</x:v>
      </x:c>
      <x:c r="C578" t="str">
        <x:v>MecaParts</x:v>
      </x:c>
      <x:c r="D578" t="str">
        <x:v>Componentes mecánicos</x:v>
      </x:c>
      <x:c r="E578" s="10" t="n">
        <x:v>6737.28</x:v>
      </x:c>
      <x:c r="F578" s="12" t="n">
        <x:v>46292</x:v>
      </x:c>
      <x:c r="G578" s="12" t="n">
        <x:v>46296</x:v>
      </x:c>
      <x:c r="H578" t="n">
        <x:v>198</x:v>
      </x:c>
      <x:c r="I578" t="n">
        <x:v>0</x:v>
      </x:c>
      <x:c r="J578" t="str">
        <x:v>Ninguna</x:v>
      </x:c>
      <x:c r="K578" t="str">
        <x:v>No</x:v>
      </x:c>
      <x:c r="L578" t="str">
        <x:v>Valencia</x:v>
      </x:c>
      <x:c r="M578" t="n">
        <x:f>IF(AND(B578&gt;=DATE(2026,7,1),B578&lt;=DATE(2026,9,30),G578&gt;=DATE(2026,7,1),G578&lt;=DATE(2026,9,30)),1,0)</x:f>
        <x:v>0</x:v>
      </x:c>
      <x:c r="N578" t="n">
        <x:f>IF(M578=1,IF(G578&lt;=F578,1,0),0)</x:f>
        <x:v>0</x:v>
      </x:c>
      <x:c r="O578" t="n">
        <x:f>IF(AND(M578=1,K578="Sí",G578&gt;F578),1,0)</x:f>
        <x:v>0</x:v>
      </x:c>
      <x:c r="P578" t="n">
        <x:f>IF(AND(M578=1,I578&gt;0),1,0)</x:f>
        <x:v>0</x:v>
      </x:c>
      <x:c r="Q578" t="n">
        <x:f>IF(AND(B578&gt;=DATE(2026,7,1),B578&lt;=DATE(2026,9,30),G578&gt;=DATE(2026,10,1),G578&lt;=DATE(2026,10,7)),1,0)</x:f>
        <x:v>1</x:v>
      </x:c>
      <x:c r="R578" t="n">
        <x:f>IF(AND(B578&gt;=DATE(2026,7,1),B578&lt;=DATE(2026,9,30),G578&gt;DATE(2026,10,7)),1,0)</x:f>
        <x:v>0</x:v>
      </x:c>
      <x:c r="S578" t="n">
        <x:f>IF(AND(M578=1,J578&lt;&gt;"Ninguna"),1,0)</x:f>
        <x:v>0</x:v>
      </x:c>
    </x:row>
    <x:row r="579">
      <x:c r="A579" t="str">
        <x:v>PED-0578</x:v>
      </x:c>
      <x:c r="B579" s="12" t="n">
        <x:v>46246</x:v>
      </x:c>
      <x:c r="C579" t="str">
        <x:v>MecaParts</x:v>
      </x:c>
      <x:c r="D579" t="str">
        <x:v>Componentes mecánicos</x:v>
      </x:c>
      <x:c r="E579" s="10" t="n">
        <x:v>665.54</x:v>
      </x:c>
      <x:c r="F579" s="12" t="n">
        <x:v>46255</x:v>
      </x:c>
      <x:c r="G579" s="12" t="n">
        <x:v>46259</x:v>
      </x:c>
      <x:c r="H579" t="n">
        <x:v>44</x:v>
      </x:c>
      <x:c r="I579" t="n">
        <x:v>0</x:v>
      </x:c>
      <x:c r="J579" t="str">
        <x:v>Ninguna</x:v>
      </x:c>
      <x:c r="K579" t="str">
        <x:v>No</x:v>
      </x:c>
      <x:c r="L579" t="str">
        <x:v>Zaragoza</x:v>
      </x:c>
      <x:c r="M579" t="n">
        <x:f>IF(AND(B579&gt;=DATE(2026,7,1),B579&lt;=DATE(2026,9,30),G579&gt;=DATE(2026,7,1),G579&lt;=DATE(2026,9,30)),1,0)</x:f>
        <x:v>1</x:v>
      </x:c>
      <x:c r="N579" t="n">
        <x:f>IF(M579=1,IF(G579&lt;=F579,1,0),0)</x:f>
        <x:v>0</x:v>
      </x:c>
      <x:c r="O579" t="n">
        <x:f>IF(AND(M579=1,K579="Sí",G579&gt;F579),1,0)</x:f>
        <x:v>0</x:v>
      </x:c>
      <x:c r="P579" t="n">
        <x:f>IF(AND(M579=1,I579&gt;0),1,0)</x:f>
        <x:v>0</x:v>
      </x:c>
      <x:c r="Q579" t="n">
        <x:f>IF(AND(B579&gt;=DATE(2026,7,1),B579&lt;=DATE(2026,9,30),G579&gt;=DATE(2026,10,1),G579&lt;=DATE(2026,10,7)),1,0)</x:f>
        <x:v>0</x:v>
      </x:c>
      <x:c r="R579" t="n">
        <x:f>IF(AND(B579&gt;=DATE(2026,7,1),B579&lt;=DATE(2026,9,30),G579&gt;DATE(2026,10,7)),1,0)</x:f>
        <x:v>0</x:v>
      </x:c>
      <x:c r="S579" t="n">
        <x:f>IF(AND(M579=1,J579&lt;&gt;"Ninguna"),1,0)</x:f>
        <x:v>0</x:v>
      </x:c>
    </x:row>
    <x:row r="580">
      <x:c r="A580" t="str">
        <x:v>PED-0579</x:v>
      </x:c>
      <x:c r="B580" s="12" t="n">
        <x:v>46234</x:v>
      </x:c>
      <x:c r="C580" t="str">
        <x:v>MecaParts</x:v>
      </x:c>
      <x:c r="D580" t="str">
        <x:v>Componentes mecánicos</x:v>
      </x:c>
      <x:c r="E580" s="10" t="n">
        <x:v>5250.88</x:v>
      </x:c>
      <x:c r="F580" s="12" t="n">
        <x:v>46243</x:v>
      </x:c>
      <x:c r="G580" s="12" t="n">
        <x:v>46249</x:v>
      </x:c>
      <x:c r="H580" t="n">
        <x:v>231</x:v>
      </x:c>
      <x:c r="I580" t="n">
        <x:v>0</x:v>
      </x:c>
      <x:c r="J580" t="str">
        <x:v>Retraso</x:v>
      </x:c>
      <x:c r="K580" t="str">
        <x:v>No</x:v>
      </x:c>
      <x:c r="L580" t="str">
        <x:v>Zaragoza</x:v>
      </x:c>
      <x:c r="M580" t="n">
        <x:f>IF(AND(B580&gt;=DATE(2026,7,1),B580&lt;=DATE(2026,9,30),G580&gt;=DATE(2026,7,1),G580&lt;=DATE(2026,9,30)),1,0)</x:f>
        <x:v>1</x:v>
      </x:c>
      <x:c r="N580" t="n">
        <x:f>IF(M580=1,IF(G580&lt;=F580,1,0),0)</x:f>
        <x:v>0</x:v>
      </x:c>
      <x:c r="O580" t="n">
        <x:f>IF(AND(M580=1,K580="Sí",G580&gt;F580),1,0)</x:f>
        <x:v>0</x:v>
      </x:c>
      <x:c r="P580" t="n">
        <x:f>IF(AND(M580=1,I580&gt;0),1,0)</x:f>
        <x:v>0</x:v>
      </x:c>
      <x:c r="Q580" t="n">
        <x:f>IF(AND(B580&gt;=DATE(2026,7,1),B580&lt;=DATE(2026,9,30),G580&gt;=DATE(2026,10,1),G580&lt;=DATE(2026,10,7)),1,0)</x:f>
        <x:v>0</x:v>
      </x:c>
      <x:c r="R580" t="n">
        <x:f>IF(AND(B580&gt;=DATE(2026,7,1),B580&lt;=DATE(2026,9,30),G580&gt;DATE(2026,10,7)),1,0)</x:f>
        <x:v>0</x:v>
      </x:c>
      <x:c r="S580" t="n">
        <x:f>IF(AND(M580=1,J580&lt;&gt;"Ninguna"),1,0)</x:f>
        <x:v>1</x:v>
      </x:c>
    </x:row>
    <x:row r="581">
      <x:c r="A581" t="str">
        <x:v>PED-0580</x:v>
      </x:c>
      <x:c r="B581" s="12" t="n">
        <x:v>46248</x:v>
      </x:c>
      <x:c r="C581" t="str">
        <x:v>MecaParts</x:v>
      </x:c>
      <x:c r="D581" t="str">
        <x:v>Componentes mecánicos</x:v>
      </x:c>
      <x:c r="E581" s="10" t="n">
        <x:v>4773.86</x:v>
      </x:c>
      <x:c r="F581" s="12" t="n">
        <x:v>46256</x:v>
      </x:c>
      <x:c r="G581" s="12" t="n">
        <x:v>46257</x:v>
      </x:c>
      <x:c r="H581" t="n">
        <x:v>211</x:v>
      </x:c>
      <x:c r="I581" t="n">
        <x:v>0</x:v>
      </x:c>
      <x:c r="J581" t="str">
        <x:v>Ninguna</x:v>
      </x:c>
      <x:c r="K581" t="str">
        <x:v>Sí</x:v>
      </x:c>
      <x:c r="L581" t="str">
        <x:v>Barcelona</x:v>
      </x:c>
      <x:c r="M581" t="n">
        <x:f>IF(AND(B581&gt;=DATE(2026,7,1),B581&lt;=DATE(2026,9,30),G581&gt;=DATE(2026,7,1),G581&lt;=DATE(2026,9,30)),1,0)</x:f>
        <x:v>1</x:v>
      </x:c>
      <x:c r="N581" t="n">
        <x:f>IF(M581=1,IF(G581&lt;=F581,1,0),0)</x:f>
        <x:v>0</x:v>
      </x:c>
      <x:c r="O581" t="n">
        <x:f>IF(AND(M581=1,K581="Sí",G581&gt;F581),1,0)</x:f>
        <x:v>1</x:v>
      </x:c>
      <x:c r="P581" t="n">
        <x:f>IF(AND(M581=1,I581&gt;0),1,0)</x:f>
        <x:v>0</x:v>
      </x:c>
      <x:c r="Q581" t="n">
        <x:f>IF(AND(B581&gt;=DATE(2026,7,1),B581&lt;=DATE(2026,9,30),G581&gt;=DATE(2026,10,1),G581&lt;=DATE(2026,10,7)),1,0)</x:f>
        <x:v>0</x:v>
      </x:c>
      <x:c r="R581" t="n">
        <x:f>IF(AND(B581&gt;=DATE(2026,7,1),B581&lt;=DATE(2026,9,30),G581&gt;DATE(2026,10,7)),1,0)</x:f>
        <x:v>0</x:v>
      </x:c>
      <x:c r="S581" t="n">
        <x:f>IF(AND(M581=1,J581&lt;&gt;"Ninguna"),1,0)</x:f>
        <x:v>0</x:v>
      </x:c>
    </x:row>
    <x:row r="582">
      <x:c r="A582" t="str">
        <x:v>PED-0581</x:v>
      </x:c>
      <x:c r="B582" s="12" t="n">
        <x:v>46295</x:v>
      </x:c>
      <x:c r="C582" t="str">
        <x:v>PackPro</x:v>
      </x:c>
      <x:c r="D582" t="str">
        <x:v>Embalaje</x:v>
      </x:c>
      <x:c r="E582" s="10" t="n">
        <x:v>6728.38</x:v>
      </x:c>
      <x:c r="F582" s="12" t="n">
        <x:v>46302</x:v>
      </x:c>
      <x:c r="G582" s="12" t="n">
        <x:v>46309</x:v>
      </x:c>
      <x:c r="H582" t="n">
        <x:v>266</x:v>
      </x:c>
      <x:c r="I582" t="n">
        <x:v>0</x:v>
      </x:c>
      <x:c r="J582" t="str">
        <x:v>Retraso</x:v>
      </x:c>
      <x:c r="K582" t="str">
        <x:v>No</x:v>
      </x:c>
      <x:c r="L582" t="str">
        <x:v>Zaragoza</x:v>
      </x:c>
      <x:c r="M582" t="n">
        <x:f>IF(AND(B582&gt;=DATE(2026,7,1),B582&lt;=DATE(2026,9,30),G582&gt;=DATE(2026,7,1),G582&lt;=DATE(2026,9,30)),1,0)</x:f>
        <x:v>0</x:v>
      </x:c>
      <x:c r="N582" t="n">
        <x:f>IF(M582=1,IF(G582&lt;=F582,1,0),0)</x:f>
        <x:v>0</x:v>
      </x:c>
      <x:c r="O582" t="n">
        <x:f>IF(AND(M582=1,K582="Sí",G582&gt;F582),1,0)</x:f>
        <x:v>0</x:v>
      </x:c>
      <x:c r="P582" t="n">
        <x:f>IF(AND(M582=1,I582&gt;0),1,0)</x:f>
        <x:v>0</x:v>
      </x:c>
      <x:c r="Q582" t="n">
        <x:f>IF(AND(B582&gt;=DATE(2026,7,1),B582&lt;=DATE(2026,9,30),G582&gt;=DATE(2026,10,1),G582&lt;=DATE(2026,10,7)),1,0)</x:f>
        <x:v>0</x:v>
      </x:c>
      <x:c r="R582" t="n">
        <x:f>IF(AND(B582&gt;=DATE(2026,7,1),B582&lt;=DATE(2026,9,30),G582&gt;DATE(2026,10,7)),1,0)</x:f>
        <x:v>1</x:v>
      </x:c>
      <x:c r="S582" t="n">
        <x:f>IF(AND(M582=1,J582&lt;&gt;"Ninguna"),1,0)</x:f>
        <x:v>0</x:v>
      </x:c>
    </x:row>
    <x:row r="583">
      <x:c r="A583" t="str">
        <x:v>PED-0582</x:v>
      </x:c>
      <x:c r="B583" s="12" t="n">
        <x:v>46230</x:v>
      </x:c>
      <x:c r="C583" t="str">
        <x:v>MetalNova</x:v>
      </x:c>
      <x:c r="D583" t="str">
        <x:v>Materia prima</x:v>
      </x:c>
      <x:c r="E583" s="10" t="n">
        <x:v>4970.32</x:v>
      </x:c>
      <x:c r="F583" s="12" t="n">
        <x:v>46241</x:v>
      </x:c>
      <x:c r="G583" s="12" t="n">
        <x:v>46239</x:v>
      </x:c>
      <x:c r="H583" t="n">
        <x:v>216</x:v>
      </x:c>
      <x:c r="I583" t="n">
        <x:v>0</x:v>
      </x:c>
      <x:c r="J583" t="str">
        <x:v>Ninguna</x:v>
      </x:c>
      <x:c r="K583" t="str">
        <x:v>No</x:v>
      </x:c>
      <x:c r="L583" t="str">
        <x:v>Valencia</x:v>
      </x:c>
      <x:c r="M583" t="n">
        <x:f>IF(AND(B583&gt;=DATE(2026,7,1),B583&lt;=DATE(2026,9,30),G583&gt;=DATE(2026,7,1),G583&lt;=DATE(2026,9,30)),1,0)</x:f>
        <x:v>1</x:v>
      </x:c>
      <x:c r="N583" t="n">
        <x:f>IF(M583=1,IF(G583&lt;=F583,1,0),0)</x:f>
        <x:v>1</x:v>
      </x:c>
      <x:c r="O583" t="n">
        <x:f>IF(AND(M583=1,K583="Sí",G583&gt;F583),1,0)</x:f>
        <x:v>0</x:v>
      </x:c>
      <x:c r="P583" t="n">
        <x:f>IF(AND(M583=1,I583&gt;0),1,0)</x:f>
        <x:v>0</x:v>
      </x:c>
      <x:c r="Q583" t="n">
        <x:f>IF(AND(B583&gt;=DATE(2026,7,1),B583&lt;=DATE(2026,9,30),G583&gt;=DATE(2026,10,1),G583&lt;=DATE(2026,10,7)),1,0)</x:f>
        <x:v>0</x:v>
      </x:c>
      <x:c r="R583" t="n">
        <x:f>IF(AND(B583&gt;=DATE(2026,7,1),B583&lt;=DATE(2026,9,30),G583&gt;DATE(2026,10,7)),1,0)</x:f>
        <x:v>0</x:v>
      </x:c>
      <x:c r="S583" t="n">
        <x:f>IF(AND(M583=1,J583&lt;&gt;"Ninguna"),1,0)</x:f>
        <x:v>0</x:v>
      </x:c>
    </x:row>
    <x:row r="584">
      <x:c r="A584" t="str">
        <x:v>PED-0583</x:v>
      </x:c>
      <x:c r="B584" s="12" t="n">
        <x:v>46293</x:v>
      </x:c>
      <x:c r="C584" t="str">
        <x:v>ElectraSupply</x:v>
      </x:c>
      <x:c r="D584" t="str">
        <x:v>Componentes eléctricos</x:v>
      </x:c>
      <x:c r="E584" s="10" t="n">
        <x:v>1373.33</x:v>
      </x:c>
      <x:c r="F584" s="12" t="n">
        <x:v>46307</x:v>
      </x:c>
      <x:c r="G584" s="12" t="n">
        <x:v>46314</x:v>
      </x:c>
      <x:c r="H584" t="n">
        <x:v>27</x:v>
      </x:c>
      <x:c r="I584" t="n">
        <x:v>0</x:v>
      </x:c>
      <x:c r="J584" t="str">
        <x:v>Ninguna</x:v>
      </x:c>
      <x:c r="K584" t="str">
        <x:v>No</x:v>
      </x:c>
      <x:c r="L584" t="str">
        <x:v>Valencia</x:v>
      </x:c>
      <x:c r="M584" t="n">
        <x:f>IF(AND(B584&gt;=DATE(2026,7,1),B584&lt;=DATE(2026,9,30),G584&gt;=DATE(2026,7,1),G584&lt;=DATE(2026,9,30)),1,0)</x:f>
        <x:v>0</x:v>
      </x:c>
      <x:c r="N584" t="n">
        <x:f>IF(M584=1,IF(G584&lt;=F584,1,0),0)</x:f>
        <x:v>0</x:v>
      </x:c>
      <x:c r="O584" t="n">
        <x:f>IF(AND(M584=1,K584="Sí",G584&gt;F584),1,0)</x:f>
        <x:v>0</x:v>
      </x:c>
      <x:c r="P584" t="n">
        <x:f>IF(AND(M584=1,I584&gt;0),1,0)</x:f>
        <x:v>0</x:v>
      </x:c>
      <x:c r="Q584" t="n">
        <x:f>IF(AND(B584&gt;=DATE(2026,7,1),B584&lt;=DATE(2026,9,30),G584&gt;=DATE(2026,10,1),G584&lt;=DATE(2026,10,7)),1,0)</x:f>
        <x:v>0</x:v>
      </x:c>
      <x:c r="R584" t="n">
        <x:f>IF(AND(B584&gt;=DATE(2026,7,1),B584&lt;=DATE(2026,9,30),G584&gt;DATE(2026,10,7)),1,0)</x:f>
        <x:v>1</x:v>
      </x:c>
      <x:c r="S584" t="n">
        <x:f>IF(AND(M584=1,J584&lt;&gt;"Ninguna"),1,0)</x:f>
        <x:v>0</x:v>
      </x:c>
    </x:row>
    <x:row r="585">
      <x:c r="A585" t="str">
        <x:v>PED-0584</x:v>
      </x:c>
      <x:c r="B585" s="12" t="n">
        <x:v>46295</x:v>
      </x:c>
      <x:c r="C585" t="str">
        <x:v>MecaParts</x:v>
      </x:c>
      <x:c r="D585" t="str">
        <x:v>Componentes mecánicos</x:v>
      </x:c>
      <x:c r="E585" s="10" t="n">
        <x:v>18108.66</x:v>
      </x:c>
      <x:c r="F585" s="12" t="n">
        <x:v>46304</x:v>
      </x:c>
      <x:c r="G585" s="12" t="n">
        <x:v>46304</x:v>
      </x:c>
      <x:c r="H585" t="n">
        <x:v>365</x:v>
      </x:c>
      <x:c r="I585" t="n">
        <x:v>0</x:v>
      </x:c>
      <x:c r="J585" t="str">
        <x:v>Ninguna</x:v>
      </x:c>
      <x:c r="K585" t="str">
        <x:v>No</x:v>
      </x:c>
      <x:c r="L585" t="str">
        <x:v>Valencia</x:v>
      </x:c>
      <x:c r="M585" t="n">
        <x:f>IF(AND(B585&gt;=DATE(2026,7,1),B585&lt;=DATE(2026,9,30),G585&gt;=DATE(2026,7,1),G585&lt;=DATE(2026,9,30)),1,0)</x:f>
        <x:v>0</x:v>
      </x:c>
      <x:c r="N585" t="n">
        <x:f>IF(M585=1,IF(G585&lt;=F585,1,0),0)</x:f>
        <x:v>0</x:v>
      </x:c>
      <x:c r="O585" t="n">
        <x:f>IF(AND(M585=1,K585="Sí",G585&gt;F585),1,0)</x:f>
        <x:v>0</x:v>
      </x:c>
      <x:c r="P585" t="n">
        <x:f>IF(AND(M585=1,I585&gt;0),1,0)</x:f>
        <x:v>0</x:v>
      </x:c>
      <x:c r="Q585" t="n">
        <x:f>IF(AND(B585&gt;=DATE(2026,7,1),B585&lt;=DATE(2026,9,30),G585&gt;=DATE(2026,10,1),G585&lt;=DATE(2026,10,7)),1,0)</x:f>
        <x:v>0</x:v>
      </x:c>
      <x:c r="R585" t="n">
        <x:f>IF(AND(B585&gt;=DATE(2026,7,1),B585&lt;=DATE(2026,9,30),G585&gt;DATE(2026,10,7)),1,0)</x:f>
        <x:v>1</x:v>
      </x:c>
      <x:c r="S585" t="n">
        <x:f>IF(AND(M585=1,J585&lt;&gt;"Ninguna"),1,0)</x:f>
        <x:v>0</x:v>
      </x:c>
    </x:row>
    <x:row r="586">
      <x:c r="A586" t="str">
        <x:v>PED-0585</x:v>
      </x:c>
      <x:c r="B586" s="12" t="n">
        <x:v>46223</x:v>
      </x:c>
      <x:c r="C586" t="str">
        <x:v>OfiPlus</x:v>
      </x:c>
      <x:c r="D586" t="str">
        <x:v>Consumibles</x:v>
      </x:c>
      <x:c r="E586" s="10" t="n">
        <x:v>959.51</x:v>
      </x:c>
      <x:c r="F586" s="12" t="n">
        <x:v>46227</x:v>
      </x:c>
      <x:c r="G586" s="12" t="n">
        <x:v>46229</x:v>
      </x:c>
      <x:c r="H586" t="n">
        <x:v>31</x:v>
      </x:c>
      <x:c r="I586" t="n">
        <x:v>0</x:v>
      </x:c>
      <x:c r="J586" t="str">
        <x:v>Ninguna</x:v>
      </x:c>
      <x:c r="K586" t="str">
        <x:v>No</x:v>
      </x:c>
      <x:c r="L586" t="str">
        <x:v>Valencia</x:v>
      </x:c>
      <x:c r="M586" t="n">
        <x:f>IF(AND(B586&gt;=DATE(2026,7,1),B586&lt;=DATE(2026,9,30),G586&gt;=DATE(2026,7,1),G586&lt;=DATE(2026,9,30)),1,0)</x:f>
        <x:v>1</x:v>
      </x:c>
      <x:c r="N586" t="n">
        <x:f>IF(M586=1,IF(G586&lt;=F586,1,0),0)</x:f>
        <x:v>0</x:v>
      </x:c>
      <x:c r="O586" t="n">
        <x:f>IF(AND(M586=1,K586="Sí",G586&gt;F586),1,0)</x:f>
        <x:v>0</x:v>
      </x:c>
      <x:c r="P586" t="n">
        <x:f>IF(AND(M586=1,I586&gt;0),1,0)</x:f>
        <x:v>0</x:v>
      </x:c>
      <x:c r="Q586" t="n">
        <x:f>IF(AND(B586&gt;=DATE(2026,7,1),B586&lt;=DATE(2026,9,30),G586&gt;=DATE(2026,10,1),G586&lt;=DATE(2026,10,7)),1,0)</x:f>
        <x:v>0</x:v>
      </x:c>
      <x:c r="R586" t="n">
        <x:f>IF(AND(B586&gt;=DATE(2026,7,1),B586&lt;=DATE(2026,9,30),G586&gt;DATE(2026,10,7)),1,0)</x:f>
        <x:v>0</x:v>
      </x:c>
      <x:c r="S586" t="n">
        <x:f>IF(AND(M586=1,J586&lt;&gt;"Ninguna"),1,0)</x:f>
        <x:v>0</x:v>
      </x:c>
    </x:row>
    <x:row r="587">
      <x:c r="A587" t="str">
        <x:v>PED-0586</x:v>
      </x:c>
      <x:c r="B587" s="12" t="n">
        <x:v>46240</x:v>
      </x:c>
      <x:c r="C587" t="str">
        <x:v>MetalNova</x:v>
      </x:c>
      <x:c r="D587" t="str">
        <x:v>Componentes mecánicos</x:v>
      </x:c>
      <x:c r="E587" s="10" t="n">
        <x:v>1138.24</x:v>
      </x:c>
      <x:c r="F587" s="12" t="n">
        <x:v>46252</x:v>
      </x:c>
      <x:c r="G587" s="12" t="n">
        <x:v>46252</x:v>
      </x:c>
      <x:c r="H587" t="n">
        <x:v>151</x:v>
      </x:c>
      <x:c r="I587" t="n">
        <x:v>9</x:v>
      </x:c>
      <x:c r="J587" t="str">
        <x:v>Ninguna</x:v>
      </x:c>
      <x:c r="K587" t="str">
        <x:v>No</x:v>
      </x:c>
      <x:c r="L587" t="str">
        <x:v>Zaragoza</x:v>
      </x:c>
      <x:c r="M587" t="n">
        <x:f>IF(AND(B587&gt;=DATE(2026,7,1),B587&lt;=DATE(2026,9,30),G587&gt;=DATE(2026,7,1),G587&lt;=DATE(2026,9,30)),1,0)</x:f>
        <x:v>1</x:v>
      </x:c>
      <x:c r="N587" t="n">
        <x:f>IF(M587=1,IF(G587&lt;=F587,1,0),0)</x:f>
        <x:v>1</x:v>
      </x:c>
      <x:c r="O587" t="n">
        <x:f>IF(AND(M587=1,K587="Sí",G587&gt;F587),1,0)</x:f>
        <x:v>0</x:v>
      </x:c>
      <x:c r="P587" t="n">
        <x:f>IF(AND(M587=1,I587&gt;0),1,0)</x:f>
        <x:v>1</x:v>
      </x:c>
      <x:c r="Q587" t="n">
        <x:f>IF(AND(B587&gt;=DATE(2026,7,1),B587&lt;=DATE(2026,9,30),G587&gt;=DATE(2026,10,1),G587&lt;=DATE(2026,10,7)),1,0)</x:f>
        <x:v>0</x:v>
      </x:c>
      <x:c r="R587" t="n">
        <x:f>IF(AND(B587&gt;=DATE(2026,7,1),B587&lt;=DATE(2026,9,30),G587&gt;DATE(2026,10,7)),1,0)</x:f>
        <x:v>0</x:v>
      </x:c>
      <x:c r="S587" t="n">
        <x:f>IF(AND(M587=1,J587&lt;&gt;"Ninguna"),1,0)</x:f>
        <x:v>0</x:v>
      </x:c>
    </x:row>
    <x:row r="588">
      <x:c r="A588" t="str">
        <x:v>PED-0587</x:v>
      </x:c>
      <x:c r="B588" s="12" t="n">
        <x:v>46284</x:v>
      </x:c>
      <x:c r="C588" t="str">
        <x:v>ElectraSupply</x:v>
      </x:c>
      <x:c r="D588" t="str">
        <x:v>Componentes eléctricos</x:v>
      </x:c>
      <x:c r="E588" s="10" t="n">
        <x:v>8652.53</x:v>
      </x:c>
      <x:c r="F588" s="12" t="n">
        <x:v>46295</x:v>
      </x:c>
      <x:c r="G588" s="12" t="n">
        <x:v>46299</x:v>
      </x:c>
      <x:c r="H588" t="n">
        <x:v>216</x:v>
      </x:c>
      <x:c r="I588" t="n">
        <x:v>0</x:v>
      </x:c>
      <x:c r="J588" t="str">
        <x:v>Documentación</x:v>
      </x:c>
      <x:c r="K588" t="str">
        <x:v>No</x:v>
      </x:c>
      <x:c r="L588" t="str">
        <x:v>Zaragoza</x:v>
      </x:c>
      <x:c r="M588" t="n">
        <x:f>IF(AND(B588&gt;=DATE(2026,7,1),B588&lt;=DATE(2026,9,30),G588&gt;=DATE(2026,7,1),G588&lt;=DATE(2026,9,30)),1,0)</x:f>
        <x:v>0</x:v>
      </x:c>
      <x:c r="N588" t="n">
        <x:f>IF(M588=1,IF(G588&lt;=F588,1,0),0)</x:f>
        <x:v>0</x:v>
      </x:c>
      <x:c r="O588" t="n">
        <x:f>IF(AND(M588=1,K588="Sí",G588&gt;F588),1,0)</x:f>
        <x:v>0</x:v>
      </x:c>
      <x:c r="P588" t="n">
        <x:f>IF(AND(M588=1,I588&gt;0),1,0)</x:f>
        <x:v>0</x:v>
      </x:c>
      <x:c r="Q588" t="n">
        <x:f>IF(AND(B588&gt;=DATE(2026,7,1),B588&lt;=DATE(2026,9,30),G588&gt;=DATE(2026,10,1),G588&lt;=DATE(2026,10,7)),1,0)</x:f>
        <x:v>1</x:v>
      </x:c>
      <x:c r="R588" t="n">
        <x:f>IF(AND(B588&gt;=DATE(2026,7,1),B588&lt;=DATE(2026,9,30),G588&gt;DATE(2026,10,7)),1,0)</x:f>
        <x:v>0</x:v>
      </x:c>
      <x:c r="S588" t="n">
        <x:f>IF(AND(M588=1,J588&lt;&gt;"Ninguna"),1,0)</x:f>
        <x:v>0</x:v>
      </x:c>
    </x:row>
    <x:row r="589">
      <x:c r="A589" t="str">
        <x:v>PED-0588</x:v>
      </x:c>
      <x:c r="B589" s="12" t="n">
        <x:v>46231</x:v>
      </x:c>
      <x:c r="C589" t="str">
        <x:v>ElectraSupply</x:v>
      </x:c>
      <x:c r="D589" t="str">
        <x:v>Componentes eléctricos</x:v>
      </x:c>
      <x:c r="E589" s="10" t="n">
        <x:v>1111.23</x:v>
      </x:c>
      <x:c r="F589" s="12" t="n">
        <x:v>46244</x:v>
      </x:c>
      <x:c r="G589" s="12" t="n">
        <x:v>46249</x:v>
      </x:c>
      <x:c r="H589" t="n">
        <x:v>54</x:v>
      </x:c>
      <x:c r="I589" t="n">
        <x:v>0</x:v>
      </x:c>
      <x:c r="J589" t="str">
        <x:v>Ninguna</x:v>
      </x:c>
      <x:c r="K589" t="str">
        <x:v>No</x:v>
      </x:c>
      <x:c r="L589" t="str">
        <x:v>Barcelona</x:v>
      </x:c>
      <x:c r="M589" t="n">
        <x:f>IF(AND(B589&gt;=DATE(2026,7,1),B589&lt;=DATE(2026,9,30),G589&gt;=DATE(2026,7,1),G589&lt;=DATE(2026,9,30)),1,0)</x:f>
        <x:v>1</x:v>
      </x:c>
      <x:c r="N589" t="n">
        <x:f>IF(M589=1,IF(G589&lt;=F589,1,0),0)</x:f>
        <x:v>0</x:v>
      </x:c>
      <x:c r="O589" t="n">
        <x:f>IF(AND(M589=1,K589="Sí",G589&gt;F589),1,0)</x:f>
        <x:v>0</x:v>
      </x:c>
      <x:c r="P589" t="n">
        <x:f>IF(AND(M589=1,I589&gt;0),1,0)</x:f>
        <x:v>0</x:v>
      </x:c>
      <x:c r="Q589" t="n">
        <x:f>IF(AND(B589&gt;=DATE(2026,7,1),B589&lt;=DATE(2026,9,30),G589&gt;=DATE(2026,10,1),G589&lt;=DATE(2026,10,7)),1,0)</x:f>
        <x:v>0</x:v>
      </x:c>
      <x:c r="R589" t="n">
        <x:f>IF(AND(B589&gt;=DATE(2026,7,1),B589&lt;=DATE(2026,9,30),G589&gt;DATE(2026,10,7)),1,0)</x:f>
        <x:v>0</x:v>
      </x:c>
      <x:c r="S589" t="n">
        <x:f>IF(AND(M589=1,J589&lt;&gt;"Ninguna"),1,0)</x:f>
        <x:v>0</x:v>
      </x:c>
    </x:row>
    <x:row r="590">
      <x:c r="A590" t="str">
        <x:v>PED-0589</x:v>
      </x:c>
      <x:c r="B590" s="12" t="n">
        <x:v>46284</x:v>
      </x:c>
      <x:c r="C590" t="str">
        <x:v>PackPro</x:v>
      </x:c>
      <x:c r="D590" t="str">
        <x:v>Embalaje</x:v>
      </x:c>
      <x:c r="E590" s="10" t="n">
        <x:v>1370.64</x:v>
      </x:c>
      <x:c r="F590" s="12" t="n">
        <x:v>46292</x:v>
      </x:c>
      <x:c r="G590" s="12" t="n">
        <x:v>46294</x:v>
      </x:c>
      <x:c r="H590" t="n">
        <x:v>181</x:v>
      </x:c>
      <x:c r="I590" t="n">
        <x:v>0</x:v>
      </x:c>
      <x:c r="J590" t="str">
        <x:v>Ninguna</x:v>
      </x:c>
      <x:c r="K590" t="str">
        <x:v>No</x:v>
      </x:c>
      <x:c r="L590" t="str">
        <x:v>Valencia</x:v>
      </x:c>
      <x:c r="M590" t="n">
        <x:f>IF(AND(B590&gt;=DATE(2026,7,1),B590&lt;=DATE(2026,9,30),G590&gt;=DATE(2026,7,1),G590&lt;=DATE(2026,9,30)),1,0)</x:f>
        <x:v>1</x:v>
      </x:c>
      <x:c r="N590" t="n">
        <x:f>IF(M590=1,IF(G590&lt;=F590,1,0),0)</x:f>
        <x:v>0</x:v>
      </x:c>
      <x:c r="O590" t="n">
        <x:f>IF(AND(M590=1,K590="Sí",G590&gt;F590),1,0)</x:f>
        <x:v>0</x:v>
      </x:c>
      <x:c r="P590" t="n">
        <x:f>IF(AND(M590=1,I590&gt;0),1,0)</x:f>
        <x:v>0</x:v>
      </x:c>
      <x:c r="Q590" t="n">
        <x:f>IF(AND(B590&gt;=DATE(2026,7,1),B590&lt;=DATE(2026,9,30),G590&gt;=DATE(2026,10,1),G590&lt;=DATE(2026,10,7)),1,0)</x:f>
        <x:v>0</x:v>
      </x:c>
      <x:c r="R590" t="n">
        <x:f>IF(AND(B590&gt;=DATE(2026,7,1),B590&lt;=DATE(2026,9,30),G590&gt;DATE(2026,10,7)),1,0)</x:f>
        <x:v>0</x:v>
      </x:c>
      <x:c r="S590" t="n">
        <x:f>IF(AND(M590=1,J590&lt;&gt;"Ninguna"),1,0)</x:f>
        <x:v>0</x:v>
      </x:c>
    </x:row>
    <x:row r="591">
      <x:c r="A591" t="str">
        <x:v>PED-0590</x:v>
      </x:c>
      <x:c r="B591" s="12" t="n">
        <x:v>46239</x:v>
      </x:c>
      <x:c r="C591" t="str">
        <x:v>OfiPlus</x:v>
      </x:c>
      <x:c r="D591" t="str">
        <x:v>Consumibles</x:v>
      </x:c>
      <x:c r="E591" s="10" t="n">
        <x:v>423.9</x:v>
      </x:c>
      <x:c r="F591" s="12" t="n">
        <x:v>46245</x:v>
      </x:c>
      <x:c r="G591" s="12" t="n">
        <x:v>46248</x:v>
      </x:c>
      <x:c r="H591" t="n">
        <x:v>26</x:v>
      </x:c>
      <x:c r="I591" t="n">
        <x:v>0</x:v>
      </x:c>
      <x:c r="J591" t="str">
        <x:v>Ninguna</x:v>
      </x:c>
      <x:c r="K591" t="str">
        <x:v>Sí</x:v>
      </x:c>
      <x:c r="L591" t="str">
        <x:v>Zaragoza</x:v>
      </x:c>
      <x:c r="M591" t="n">
        <x:f>IF(AND(B591&gt;=DATE(2026,7,1),B591&lt;=DATE(2026,9,30),G591&gt;=DATE(2026,7,1),G591&lt;=DATE(2026,9,30)),1,0)</x:f>
        <x:v>1</x:v>
      </x:c>
      <x:c r="N591" t="n">
        <x:f>IF(M591=1,IF(G591&lt;=F591,1,0),0)</x:f>
        <x:v>0</x:v>
      </x:c>
      <x:c r="O591" t="n">
        <x:f>IF(AND(M591=1,K591="Sí",G591&gt;F591),1,0)</x:f>
        <x:v>1</x:v>
      </x:c>
      <x:c r="P591" t="n">
        <x:f>IF(AND(M591=1,I591&gt;0),1,0)</x:f>
        <x:v>0</x:v>
      </x:c>
      <x:c r="Q591" t="n">
        <x:f>IF(AND(B591&gt;=DATE(2026,7,1),B591&lt;=DATE(2026,9,30),G591&gt;=DATE(2026,10,1),G591&lt;=DATE(2026,10,7)),1,0)</x:f>
        <x:v>0</x:v>
      </x:c>
      <x:c r="R591" t="n">
        <x:f>IF(AND(B591&gt;=DATE(2026,7,1),B591&lt;=DATE(2026,9,30),G591&gt;DATE(2026,10,7)),1,0)</x:f>
        <x:v>0</x:v>
      </x:c>
      <x:c r="S591" t="n">
        <x:f>IF(AND(M591=1,J591&lt;&gt;"Ninguna"),1,0)</x:f>
        <x:v>0</x:v>
      </x:c>
    </x:row>
    <x:row r="592">
      <x:c r="A592" t="str">
        <x:v>PED-0591</x:v>
      </x:c>
      <x:c r="B592" s="12" t="n">
        <x:v>46279</x:v>
      </x:c>
      <x:c r="C592" t="str">
        <x:v>OfiPlus</x:v>
      </x:c>
      <x:c r="D592" t="str">
        <x:v>Consumibles</x:v>
      </x:c>
      <x:c r="E592" s="10" t="n">
        <x:v>3560.18</x:v>
      </x:c>
      <x:c r="F592" s="12" t="n">
        <x:v>46283</x:v>
      </x:c>
      <x:c r="G592" s="12" t="n">
        <x:v>46283</x:v>
      </x:c>
      <x:c r="H592" t="n">
        <x:v>141</x:v>
      </x:c>
      <x:c r="I592" t="n">
        <x:v>0</x:v>
      </x:c>
      <x:c r="J592" t="str">
        <x:v>Ninguna</x:v>
      </x:c>
      <x:c r="K592" t="str">
        <x:v>Sí</x:v>
      </x:c>
      <x:c r="L592" t="str">
        <x:v>Zaragoza</x:v>
      </x:c>
      <x:c r="M592" t="n">
        <x:f>IF(AND(B592&gt;=DATE(2026,7,1),B592&lt;=DATE(2026,9,30),G592&gt;=DATE(2026,7,1),G592&lt;=DATE(2026,9,30)),1,0)</x:f>
        <x:v>1</x:v>
      </x:c>
      <x:c r="N592" t="n">
        <x:f>IF(M592=1,IF(G592&lt;=F592,1,0),0)</x:f>
        <x:v>1</x:v>
      </x:c>
      <x:c r="O592" t="n">
        <x:f>IF(AND(M592=1,K592="Sí",G592&gt;F592),1,0)</x:f>
        <x:v>0</x:v>
      </x:c>
      <x:c r="P592" t="n">
        <x:f>IF(AND(M592=1,I592&gt;0),1,0)</x:f>
        <x:v>0</x:v>
      </x:c>
      <x:c r="Q592" t="n">
        <x:f>IF(AND(B592&gt;=DATE(2026,7,1),B592&lt;=DATE(2026,9,30),G592&gt;=DATE(2026,10,1),G592&lt;=DATE(2026,10,7)),1,0)</x:f>
        <x:v>0</x:v>
      </x:c>
      <x:c r="R592" t="n">
        <x:f>IF(AND(B592&gt;=DATE(2026,7,1),B592&lt;=DATE(2026,9,30),G592&gt;DATE(2026,10,7)),1,0)</x:f>
        <x:v>0</x:v>
      </x:c>
      <x:c r="S592" t="n">
        <x:f>IF(AND(M592=1,J592&lt;&gt;"Ninguna"),1,0)</x:f>
        <x:v>0</x:v>
      </x:c>
    </x:row>
    <x:row r="593">
      <x:c r="A593" t="str">
        <x:v>PED-0592</x:v>
      </x:c>
      <x:c r="B593" s="12" t="n">
        <x:v>46270</x:v>
      </x:c>
      <x:c r="C593" t="str">
        <x:v>ElectraSupply</x:v>
      </x:c>
      <x:c r="D593" t="str">
        <x:v>Componentes eléctricos</x:v>
      </x:c>
      <x:c r="E593" s="10" t="n">
        <x:v>1069.91</x:v>
      </x:c>
      <x:c r="F593" s="12" t="n">
        <x:v>46283</x:v>
      </x:c>
      <x:c r="G593" s="12" t="n">
        <x:v>46291</x:v>
      </x:c>
      <x:c r="H593" t="n">
        <x:v>33</x:v>
      </x:c>
      <x:c r="I593" t="n">
        <x:v>4</x:v>
      </x:c>
      <x:c r="J593" t="str">
        <x:v>Calidad</x:v>
      </x:c>
      <x:c r="K593" t="str">
        <x:v>No</x:v>
      </x:c>
      <x:c r="L593" t="str">
        <x:v>Barcelona</x:v>
      </x:c>
      <x:c r="M593" t="n">
        <x:f>IF(AND(B593&gt;=DATE(2026,7,1),B593&lt;=DATE(2026,9,30),G593&gt;=DATE(2026,7,1),G593&lt;=DATE(2026,9,30)),1,0)</x:f>
        <x:v>1</x:v>
      </x:c>
      <x:c r="N593" t="n">
        <x:f>IF(M593=1,IF(G593&lt;=F593,1,0),0)</x:f>
        <x:v>0</x:v>
      </x:c>
      <x:c r="O593" t="n">
        <x:f>IF(AND(M593=1,K593="Sí",G593&gt;F593),1,0)</x:f>
        <x:v>0</x:v>
      </x:c>
      <x:c r="P593" t="n">
        <x:f>IF(AND(M593=1,I593&gt;0),1,0)</x:f>
        <x:v>1</x:v>
      </x:c>
      <x:c r="Q593" t="n">
        <x:f>IF(AND(B593&gt;=DATE(2026,7,1),B593&lt;=DATE(2026,9,30),G593&gt;=DATE(2026,10,1),G593&lt;=DATE(2026,10,7)),1,0)</x:f>
        <x:v>0</x:v>
      </x:c>
      <x:c r="R593" t="n">
        <x:f>IF(AND(B593&gt;=DATE(2026,7,1),B593&lt;=DATE(2026,9,30),G593&gt;DATE(2026,10,7)),1,0)</x:f>
        <x:v>0</x:v>
      </x:c>
      <x:c r="S593" t="n">
        <x:f>IF(AND(M593=1,J593&lt;&gt;"Ninguna"),1,0)</x:f>
        <x:v>1</x:v>
      </x:c>
    </x:row>
    <x:row r="594">
      <x:c r="A594" t="str">
        <x:v>PED-0593</x:v>
      </x:c>
      <x:c r="B594" s="12" t="n">
        <x:v>46230</x:v>
      </x:c>
      <x:c r="C594" t="str">
        <x:v>PackPro</x:v>
      </x:c>
      <x:c r="D594" t="str">
        <x:v>Embalaje</x:v>
      </x:c>
      <x:c r="E594" s="10" t="n">
        <x:v>6520.25</x:v>
      </x:c>
      <x:c r="F594" s="12" t="n">
        <x:v>46237</x:v>
      </x:c>
      <x:c r="G594" s="12" t="n">
        <x:v>46238</x:v>
      </x:c>
      <x:c r="H594" t="n">
        <x:v>238</x:v>
      </x:c>
      <x:c r="I594" t="n">
        <x:v>0</x:v>
      </x:c>
      <x:c r="J594" t="str">
        <x:v>Ninguna</x:v>
      </x:c>
      <x:c r="K594" t="str">
        <x:v>No</x:v>
      </x:c>
      <x:c r="L594" t="str">
        <x:v>Valencia</x:v>
      </x:c>
      <x:c r="M594" t="n">
        <x:f>IF(AND(B594&gt;=DATE(2026,7,1),B594&lt;=DATE(2026,9,30),G594&gt;=DATE(2026,7,1),G594&lt;=DATE(2026,9,30)),1,0)</x:f>
        <x:v>1</x:v>
      </x:c>
      <x:c r="N594" t="n">
        <x:f>IF(M594=1,IF(G594&lt;=F594,1,0),0)</x:f>
        <x:v>0</x:v>
      </x:c>
      <x:c r="O594" t="n">
        <x:f>IF(AND(M594=1,K594="Sí",G594&gt;F594),1,0)</x:f>
        <x:v>0</x:v>
      </x:c>
      <x:c r="P594" t="n">
        <x:f>IF(AND(M594=1,I594&gt;0),1,0)</x:f>
        <x:v>0</x:v>
      </x:c>
      <x:c r="Q594" t="n">
        <x:f>IF(AND(B594&gt;=DATE(2026,7,1),B594&lt;=DATE(2026,9,30),G594&gt;=DATE(2026,10,1),G594&lt;=DATE(2026,10,7)),1,0)</x:f>
        <x:v>0</x:v>
      </x:c>
      <x:c r="R594" t="n">
        <x:f>IF(AND(B594&gt;=DATE(2026,7,1),B594&lt;=DATE(2026,9,30),G594&gt;DATE(2026,10,7)),1,0)</x:f>
        <x:v>0</x:v>
      </x:c>
      <x:c r="S594" t="n">
        <x:f>IF(AND(M594=1,J594&lt;&gt;"Ninguna"),1,0)</x:f>
        <x:v>0</x:v>
      </x:c>
    </x:row>
    <x:row r="595">
      <x:c r="A595" t="str">
        <x:v>PED-0594</x:v>
      </x:c>
      <x:c r="B595" s="12" t="n">
        <x:v>46216</x:v>
      </x:c>
      <x:c r="C595" t="str">
        <x:v>MecaParts</x:v>
      </x:c>
      <x:c r="D595" t="str">
        <x:v>Componentes mecánicos</x:v>
      </x:c>
      <x:c r="E595" s="10" t="n">
        <x:v>3724.71</x:v>
      </x:c>
      <x:c r="F595" s="12" t="n">
        <x:v>46224</x:v>
      </x:c>
      <x:c r="G595" s="12" t="n">
        <x:v>46225</x:v>
      </x:c>
      <x:c r="H595" t="n">
        <x:v>103</x:v>
      </x:c>
      <x:c r="I595" t="n">
        <x:v>0</x:v>
      </x:c>
      <x:c r="J595" t="str">
        <x:v>Ninguna</x:v>
      </x:c>
      <x:c r="K595" t="str">
        <x:v>Sí</x:v>
      </x:c>
      <x:c r="L595" t="str">
        <x:v>Zaragoza</x:v>
      </x:c>
      <x:c r="M595" t="n">
        <x:f>IF(AND(B595&gt;=DATE(2026,7,1),B595&lt;=DATE(2026,9,30),G595&gt;=DATE(2026,7,1),G595&lt;=DATE(2026,9,30)),1,0)</x:f>
        <x:v>1</x:v>
      </x:c>
      <x:c r="N595" t="n">
        <x:f>IF(M595=1,IF(G595&lt;=F595,1,0),0)</x:f>
        <x:v>0</x:v>
      </x:c>
      <x:c r="O595" t="n">
        <x:f>IF(AND(M595=1,K595="Sí",G595&gt;F595),1,0)</x:f>
        <x:v>1</x:v>
      </x:c>
      <x:c r="P595" t="n">
        <x:f>IF(AND(M595=1,I595&gt;0),1,0)</x:f>
        <x:v>0</x:v>
      </x:c>
      <x:c r="Q595" t="n">
        <x:f>IF(AND(B595&gt;=DATE(2026,7,1),B595&lt;=DATE(2026,9,30),G595&gt;=DATE(2026,10,1),G595&lt;=DATE(2026,10,7)),1,0)</x:f>
        <x:v>0</x:v>
      </x:c>
      <x:c r="R595" t="n">
        <x:f>IF(AND(B595&gt;=DATE(2026,7,1),B595&lt;=DATE(2026,9,30),G595&gt;DATE(2026,10,7)),1,0)</x:f>
        <x:v>0</x:v>
      </x:c>
      <x:c r="S595" t="n">
        <x:f>IF(AND(M595=1,J595&lt;&gt;"Ninguna"),1,0)</x:f>
        <x:v>0</x:v>
      </x:c>
    </x:row>
    <x:row r="596">
      <x:c r="A596" t="str">
        <x:v>PED-0595</x:v>
      </x:c>
      <x:c r="B596" s="12" t="n">
        <x:v>46261</x:v>
      </x:c>
      <x:c r="C596" t="str">
        <x:v>ElectraSupply</x:v>
      </x:c>
      <x:c r="D596" t="str">
        <x:v>Componentes eléctricos</x:v>
      </x:c>
      <x:c r="E596" s="10" t="n">
        <x:v>13795.89</x:v>
      </x:c>
      <x:c r="F596" s="12" t="n">
        <x:v>46273</x:v>
      </x:c>
      <x:c r="G596" s="12" t="n">
        <x:v>46282</x:v>
      </x:c>
      <x:c r="H596" t="n">
        <x:v>335</x:v>
      </x:c>
      <x:c r="I596" t="n">
        <x:v>0</x:v>
      </x:c>
      <x:c r="J596" t="str">
        <x:v>Retraso</x:v>
      </x:c>
      <x:c r="K596" t="str">
        <x:v>No</x:v>
      </x:c>
      <x:c r="L596" t="str">
        <x:v>Barcelona</x:v>
      </x:c>
      <x:c r="M596" t="n">
        <x:f>IF(AND(B596&gt;=DATE(2026,7,1),B596&lt;=DATE(2026,9,30),G596&gt;=DATE(2026,7,1),G596&lt;=DATE(2026,9,30)),1,0)</x:f>
        <x:v>1</x:v>
      </x:c>
      <x:c r="N596" t="n">
        <x:f>IF(M596=1,IF(G596&lt;=F596,1,0),0)</x:f>
        <x:v>0</x:v>
      </x:c>
      <x:c r="O596" t="n">
        <x:f>IF(AND(M596=1,K596="Sí",G596&gt;F596),1,0)</x:f>
        <x:v>0</x:v>
      </x:c>
      <x:c r="P596" t="n">
        <x:f>IF(AND(M596=1,I596&gt;0),1,0)</x:f>
        <x:v>0</x:v>
      </x:c>
      <x:c r="Q596" t="n">
        <x:f>IF(AND(B596&gt;=DATE(2026,7,1),B596&lt;=DATE(2026,9,30),G596&gt;=DATE(2026,10,1),G596&lt;=DATE(2026,10,7)),1,0)</x:f>
        <x:v>0</x:v>
      </x:c>
      <x:c r="R596" t="n">
        <x:f>IF(AND(B596&gt;=DATE(2026,7,1),B596&lt;=DATE(2026,9,30),G596&gt;DATE(2026,10,7)),1,0)</x:f>
        <x:v>0</x:v>
      </x:c>
      <x:c r="S596" t="n">
        <x:f>IF(AND(M596=1,J596&lt;&gt;"Ninguna"),1,0)</x:f>
        <x:v>1</x:v>
      </x:c>
    </x:row>
    <x:row r="597">
      <x:c r="A597" t="str">
        <x:v>PED-0596</x:v>
      </x:c>
      <x:c r="B597" s="12" t="n">
        <x:v>46260</x:v>
      </x:c>
      <x:c r="C597" t="str">
        <x:v>MecaParts</x:v>
      </x:c>
      <x:c r="D597" t="str">
        <x:v>Componentes mecánicos</x:v>
      </x:c>
      <x:c r="E597" s="10" t="n">
        <x:v>10384.55</x:v>
      </x:c>
      <x:c r="F597" s="12" t="n">
        <x:v>46269</x:v>
      </x:c>
      <x:c r="G597" s="12" t="n">
        <x:v>46271</x:v>
      </x:c>
      <x:c r="H597" t="n">
        <x:v>297</x:v>
      </x:c>
      <x:c r="I597" t="n">
        <x:v>0</x:v>
      </x:c>
      <x:c r="J597" t="str">
        <x:v>Ninguna</x:v>
      </x:c>
      <x:c r="K597" t="str">
        <x:v>No</x:v>
      </x:c>
      <x:c r="L597" t="str">
        <x:v>Valencia</x:v>
      </x:c>
      <x:c r="M597" t="n">
        <x:f>IF(AND(B597&gt;=DATE(2026,7,1),B597&lt;=DATE(2026,9,30),G597&gt;=DATE(2026,7,1),G597&lt;=DATE(2026,9,30)),1,0)</x:f>
        <x:v>1</x:v>
      </x:c>
      <x:c r="N597" t="n">
        <x:f>IF(M597=1,IF(G597&lt;=F597,1,0),0)</x:f>
        <x:v>0</x:v>
      </x:c>
      <x:c r="O597" t="n">
        <x:f>IF(AND(M597=1,K597="Sí",G597&gt;F597),1,0)</x:f>
        <x:v>0</x:v>
      </x:c>
      <x:c r="P597" t="n">
        <x:f>IF(AND(M597=1,I597&gt;0),1,0)</x:f>
        <x:v>0</x:v>
      </x:c>
      <x:c r="Q597" t="n">
        <x:f>IF(AND(B597&gt;=DATE(2026,7,1),B597&lt;=DATE(2026,9,30),G597&gt;=DATE(2026,10,1),G597&lt;=DATE(2026,10,7)),1,0)</x:f>
        <x:v>0</x:v>
      </x:c>
      <x:c r="R597" t="n">
        <x:f>IF(AND(B597&gt;=DATE(2026,7,1),B597&lt;=DATE(2026,9,30),G597&gt;DATE(2026,10,7)),1,0)</x:f>
        <x:v>0</x:v>
      </x:c>
      <x:c r="S597" t="n">
        <x:f>IF(AND(M597=1,J597&lt;&gt;"Ninguna"),1,0)</x:f>
        <x:v>0</x:v>
      </x:c>
    </x:row>
    <x:row r="598">
      <x:c r="A598" t="str">
        <x:v>PED-0597</x:v>
      </x:c>
      <x:c r="B598" s="12" t="n">
        <x:v>46273</x:v>
      </x:c>
      <x:c r="C598" t="str">
        <x:v>PackPro</x:v>
      </x:c>
      <x:c r="D598" t="str">
        <x:v>Embalaje</x:v>
      </x:c>
      <x:c r="E598" s="10" t="n">
        <x:v>3165.46</x:v>
      </x:c>
      <x:c r="F598" s="12" t="n">
        <x:v>46280</x:v>
      </x:c>
      <x:c r="G598" s="12" t="n">
        <x:v>46283</x:v>
      </x:c>
      <x:c r="H598" t="n">
        <x:v>62</x:v>
      </x:c>
      <x:c r="I598" t="n">
        <x:v>0</x:v>
      </x:c>
      <x:c r="J598" t="str">
        <x:v>Ninguna</x:v>
      </x:c>
      <x:c r="K598" t="str">
        <x:v>No</x:v>
      </x:c>
      <x:c r="L598" t="str">
        <x:v>Barcelona</x:v>
      </x:c>
      <x:c r="M598" t="n">
        <x:f>IF(AND(B598&gt;=DATE(2026,7,1),B598&lt;=DATE(2026,9,30),G598&gt;=DATE(2026,7,1),G598&lt;=DATE(2026,9,30)),1,0)</x:f>
        <x:v>1</x:v>
      </x:c>
      <x:c r="N598" t="n">
        <x:f>IF(M598=1,IF(G598&lt;=F598,1,0),0)</x:f>
        <x:v>0</x:v>
      </x:c>
      <x:c r="O598" t="n">
        <x:f>IF(AND(M598=1,K598="Sí",G598&gt;F598),1,0)</x:f>
        <x:v>0</x:v>
      </x:c>
      <x:c r="P598" t="n">
        <x:f>IF(AND(M598=1,I598&gt;0),1,0)</x:f>
        <x:v>0</x:v>
      </x:c>
      <x:c r="Q598" t="n">
        <x:f>IF(AND(B598&gt;=DATE(2026,7,1),B598&lt;=DATE(2026,9,30),G598&gt;=DATE(2026,10,1),G598&lt;=DATE(2026,10,7)),1,0)</x:f>
        <x:v>0</x:v>
      </x:c>
      <x:c r="R598" t="n">
        <x:f>IF(AND(B598&gt;=DATE(2026,7,1),B598&lt;=DATE(2026,9,30),G598&gt;DATE(2026,10,7)),1,0)</x:f>
        <x:v>0</x:v>
      </x:c>
      <x:c r="S598" t="n">
        <x:f>IF(AND(M598=1,J598&lt;&gt;"Ninguna"),1,0)</x:f>
        <x:v>0</x:v>
      </x:c>
    </x:row>
    <x:row r="599">
      <x:c r="A599" t="str">
        <x:v>PED-0598</x:v>
      </x:c>
      <x:c r="B599" s="12" t="n">
        <x:v>46244</x:v>
      </x:c>
      <x:c r="C599" t="str">
        <x:v>MecaParts</x:v>
      </x:c>
      <x:c r="D599" t="str">
        <x:v>Componentes mecánicos</x:v>
      </x:c>
      <x:c r="E599" s="10" t="n">
        <x:v>5351.65</x:v>
      </x:c>
      <x:c r="F599" s="12" t="n">
        <x:v>46253</x:v>
      </x:c>
      <x:c r="G599" s="12" t="n">
        <x:v>46256</x:v>
      </x:c>
      <x:c r="H599" t="n">
        <x:v>129</x:v>
      </x:c>
      <x:c r="I599" t="n">
        <x:v>0</x:v>
      </x:c>
      <x:c r="J599" t="str">
        <x:v>Ninguna</x:v>
      </x:c>
      <x:c r="K599" t="str">
        <x:v>No</x:v>
      </x:c>
      <x:c r="L599" t="str">
        <x:v>Zaragoza</x:v>
      </x:c>
      <x:c r="M599" t="n">
        <x:f>IF(AND(B599&gt;=DATE(2026,7,1),B599&lt;=DATE(2026,9,30),G599&gt;=DATE(2026,7,1),G599&lt;=DATE(2026,9,30)),1,0)</x:f>
        <x:v>1</x:v>
      </x:c>
      <x:c r="N599" t="n">
        <x:f>IF(M599=1,IF(G599&lt;=F599,1,0),0)</x:f>
        <x:v>0</x:v>
      </x:c>
      <x:c r="O599" t="n">
        <x:f>IF(AND(M599=1,K599="Sí",G599&gt;F599),1,0)</x:f>
        <x:v>0</x:v>
      </x:c>
      <x:c r="P599" t="n">
        <x:f>IF(AND(M599=1,I599&gt;0),1,0)</x:f>
        <x:v>0</x:v>
      </x:c>
      <x:c r="Q599" t="n">
        <x:f>IF(AND(B599&gt;=DATE(2026,7,1),B599&lt;=DATE(2026,9,30),G599&gt;=DATE(2026,10,1),G599&lt;=DATE(2026,10,7)),1,0)</x:f>
        <x:v>0</x:v>
      </x:c>
      <x:c r="R599" t="n">
        <x:f>IF(AND(B599&gt;=DATE(2026,7,1),B599&lt;=DATE(2026,9,30),G599&gt;DATE(2026,10,7)),1,0)</x:f>
        <x:v>0</x:v>
      </x:c>
      <x:c r="S599" t="n">
        <x:f>IF(AND(M599=1,J599&lt;&gt;"Ninguna"),1,0)</x:f>
        <x:v>0</x:v>
      </x:c>
    </x:row>
    <x:row r="600">
      <x:c r="A600" t="str">
        <x:v>PED-0599</x:v>
      </x:c>
      <x:c r="B600" s="12" t="n">
        <x:v>46289</x:v>
      </x:c>
      <x:c r="C600" t="str">
        <x:v>MetalNova</x:v>
      </x:c>
      <x:c r="D600" t="str">
        <x:v>Componentes mecánicos</x:v>
      </x:c>
      <x:c r="E600" s="10" t="n">
        <x:v>9717.49</x:v>
      </x:c>
      <x:c r="F600" s="12" t="n">
        <x:v>46301</x:v>
      </x:c>
      <x:c r="G600" s="12" t="n">
        <x:v>46299</x:v>
      </x:c>
      <x:c r="H600" t="n">
        <x:v>227</x:v>
      </x:c>
      <x:c r="I600" t="n">
        <x:v>0</x:v>
      </x:c>
      <x:c r="J600" t="str">
        <x:v>Ninguna</x:v>
      </x:c>
      <x:c r="K600" t="str">
        <x:v>No</x:v>
      </x:c>
      <x:c r="L600" t="str">
        <x:v>Barcelona</x:v>
      </x:c>
      <x:c r="M600" t="n">
        <x:f>IF(AND(B600&gt;=DATE(2026,7,1),B600&lt;=DATE(2026,9,30),G600&gt;=DATE(2026,7,1),G600&lt;=DATE(2026,9,30)),1,0)</x:f>
        <x:v>0</x:v>
      </x:c>
      <x:c r="N600" t="n">
        <x:f>IF(M600=1,IF(G600&lt;=F600,1,0),0)</x:f>
        <x:v>0</x:v>
      </x:c>
      <x:c r="O600" t="n">
        <x:f>IF(AND(M600=1,K600="Sí",G600&gt;F600),1,0)</x:f>
        <x:v>0</x:v>
      </x:c>
      <x:c r="P600" t="n">
        <x:f>IF(AND(M600=1,I600&gt;0),1,0)</x:f>
        <x:v>0</x:v>
      </x:c>
      <x:c r="Q600" t="n">
        <x:f>IF(AND(B600&gt;=DATE(2026,7,1),B600&lt;=DATE(2026,9,30),G600&gt;=DATE(2026,10,1),G600&lt;=DATE(2026,10,7)),1,0)</x:f>
        <x:v>1</x:v>
      </x:c>
      <x:c r="R600" t="n">
        <x:f>IF(AND(B600&gt;=DATE(2026,7,1),B600&lt;=DATE(2026,9,30),G600&gt;DATE(2026,10,7)),1,0)</x:f>
        <x:v>0</x:v>
      </x:c>
      <x:c r="S600" t="n">
        <x:f>IF(AND(M600=1,J600&lt;&gt;"Ninguna"),1,0)</x:f>
        <x:v>0</x:v>
      </x:c>
    </x:row>
    <x:row r="601">
      <x:c r="A601" t="str">
        <x:v>PED-0600</x:v>
      </x:c>
      <x:c r="B601" s="12" t="n">
        <x:v>46211</x:v>
      </x:c>
      <x:c r="C601" t="str">
        <x:v>PackPro</x:v>
      </x:c>
      <x:c r="D601" t="str">
        <x:v>Embalaje</x:v>
      </x:c>
      <x:c r="E601" s="10" t="n">
        <x:v>403.35</x:v>
      </x:c>
      <x:c r="F601" s="12" t="n">
        <x:v>46219</x:v>
      </x:c>
      <x:c r="G601" s="12" t="n">
        <x:v>46219</x:v>
      </x:c>
      <x:c r="H601" t="n">
        <x:v>39</x:v>
      </x:c>
      <x:c r="I601" t="n">
        <x:v>0</x:v>
      </x:c>
      <x:c r="J601" t="str">
        <x:v>Ninguna</x:v>
      </x:c>
      <x:c r="K601" t="str">
        <x:v>No</x:v>
      </x:c>
      <x:c r="L601" t="str">
        <x:v>Valencia</x:v>
      </x:c>
      <x:c r="M601" t="n">
        <x:f>IF(AND(B601&gt;=DATE(2026,7,1),B601&lt;=DATE(2026,9,30),G601&gt;=DATE(2026,7,1),G601&lt;=DATE(2026,9,30)),1,0)</x:f>
        <x:v>1</x:v>
      </x:c>
      <x:c r="N601" t="n">
        <x:f>IF(M601=1,IF(G601&lt;=F601,1,0),0)</x:f>
        <x:v>1</x:v>
      </x:c>
      <x:c r="O601" t="n">
        <x:f>IF(AND(M601=1,K601="Sí",G601&gt;F601),1,0)</x:f>
        <x:v>0</x:v>
      </x:c>
      <x:c r="P601" t="n">
        <x:f>IF(AND(M601=1,I601&gt;0),1,0)</x:f>
        <x:v>0</x:v>
      </x:c>
      <x:c r="Q601" t="n">
        <x:f>IF(AND(B601&gt;=DATE(2026,7,1),B601&lt;=DATE(2026,9,30),G601&gt;=DATE(2026,10,1),G601&lt;=DATE(2026,10,7)),1,0)</x:f>
        <x:v>0</x:v>
      </x:c>
      <x:c r="R601" t="n">
        <x:f>IF(AND(B601&gt;=DATE(2026,7,1),B601&lt;=DATE(2026,9,30),G601&gt;DATE(2026,10,7)),1,0)</x:f>
        <x:v>0</x:v>
      </x:c>
      <x:c r="S601" t="n">
        <x:f>IF(AND(M601=1,J601&lt;&gt;"Ninguna"),1,0)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4" t="str">
        <x:v>Contratos, ofertas y umbrales</x:v>
      </x:c>
    </x:row>
    <x:row r="4" ht="48" customHeight="1">
      <x:c r="A4" s="7" t="str">
        <x:v>Proveedor</x:v>
      </x:c>
      <x:c r="B4" s="7" t="str">
        <x:v>Ámbito oferta</x:v>
      </x:c>
      <x:c r="C4" s="7" t="str">
        <x:v>SLA entrega (%)</x:v>
      </x:c>
      <x:c r="D4" s="7" t="str">
        <x:v>Máx. rechazo (%)</x:v>
      </x:c>
      <x:c r="E4" s="7" t="str">
        <x:v>Pago días</x:v>
      </x:c>
      <x:c r="F4" s="7" t="str">
        <x:v>Descuento vigente (%)</x:v>
      </x:c>
      <x:c r="G4" s="7" t="str">
        <x:v>Penalización retraso (% del pedido)</x:v>
      </x:c>
      <x:c r="H4" s="7" t="str">
        <x:v>Índice precio oferta</x:v>
      </x:c>
      <x:c r="I4" s="7" t="str">
        <x:v>Plazo propuesto días</x:v>
      </x:c>
      <x:c r="J4" s="7" t="str">
        <x:v>Garantía calidad (%)</x:v>
      </x:c>
      <x:c r="K4" s="7" t="str">
        <x:v>Duración meses</x:v>
      </x:c>
      <x:c r="L4" s="7" t="str">
        <x:v>Gasto Q3 elegible €</x:v>
      </x:c>
      <x:c r="M4" s="7" t="str">
        <x:v>Umbral trimestral propuesto €</x:v>
      </x:c>
    </x:row>
    <x:row r="5">
      <x:c r="A5" t="str">
        <x:v>MetalNova</x:v>
      </x:c>
      <x:c r="B5" t="str">
        <x:v>Componentes mecánicos</x:v>
      </x:c>
      <x:c r="C5" t="n">
        <x:v>95</x:v>
      </x:c>
      <x:c r="D5" t="n">
        <x:v>2</x:v>
      </x:c>
      <x:c r="E5" t="n">
        <x:v>45</x:v>
      </x:c>
      <x:c r="F5" t="n">
        <x:v>2</x:v>
      </x:c>
      <x:c r="G5" t="n">
        <x:v>1.5</x:v>
      </x:c>
      <x:c r="H5" t="n">
        <x:v>103</x:v>
      </x:c>
      <x:c r="I5" t="n">
        <x:v>9</x:v>
      </x:c>
      <x:c r="J5" t="n">
        <x:v>98</x:v>
      </x:c>
      <x:c r="K5" t="n">
        <x:v>12</x:v>
      </x:c>
      <x:c r="L5" t="n">
        <x:v>379858.36</x:v>
      </x:c>
      <x:c r="M5" t="n">
        <x:v>370000</x:v>
      </x:c>
    </x:row>
    <x:row r="6">
      <x:c r="A6" t="str">
        <x:v>PackPro</x:v>
      </x:c>
      <x:c r="B6" t="str">
        <x:v>Embalaje</x:v>
      </x:c>
      <x:c r="C6" t="n">
        <x:v>96</x:v>
      </x:c>
      <x:c r="D6" t="n">
        <x:v>1.5</x:v>
      </x:c>
      <x:c r="E6" t="n">
        <x:v>30</x:v>
      </x:c>
      <x:c r="F6" t="n">
        <x:v>1</x:v>
      </x:c>
      <x:c r="G6" t="n">
        <x:v>1</x:v>
      </x:c>
      <x:c r="H6" t="n">
        <x:v>99</x:v>
      </x:c>
      <x:c r="I6" t="n">
        <x:v>6</x:v>
      </x:c>
      <x:c r="J6" t="n">
        <x:v>98.5</x:v>
      </x:c>
      <x:c r="K6" t="n">
        <x:v>24</x:v>
      </x:c>
      <x:c r="L6" t="n">
        <x:v>638637.07</x:v>
      </x:c>
      <x:c r="M6" t="n">
        <x:v>630000</x:v>
      </x:c>
    </x:row>
    <x:row r="7">
      <x:c r="A7" t="str">
        <x:v>ElectraSupply</x:v>
      </x:c>
      <x:c r="B7" t="str">
        <x:v>Componentes eléctricos</x:v>
      </x:c>
      <x:c r="C7" t="n">
        <x:v>97</x:v>
      </x:c>
      <x:c r="D7" t="n">
        <x:v>1</x:v>
      </x:c>
      <x:c r="E7" t="n">
        <x:v>60</x:v>
      </x:c>
      <x:c r="F7" t="n">
        <x:v>2.5</x:v>
      </x:c>
      <x:c r="G7" t="n">
        <x:v>2</x:v>
      </x:c>
      <x:c r="H7" t="n">
        <x:v>96</x:v>
      </x:c>
      <x:c r="I7" t="n">
        <x:v>10</x:v>
      </x:c>
      <x:c r="J7" t="n">
        <x:v>99</x:v>
      </x:c>
      <x:c r="K7" t="n">
        <x:v>24</x:v>
      </x:c>
      <x:c r="L7" t="n">
        <x:v>747584.14</x:v>
      </x:c>
      <x:c r="M7" t="n">
        <x:v>740000</x:v>
      </x:c>
    </x:row>
    <x:row r="8">
      <x:c r="A8" t="str">
        <x:v>OfiPlus</x:v>
      </x:c>
      <x:c r="B8" t="str">
        <x:v>Consumibles</x:v>
      </x:c>
      <x:c r="C8" t="n">
        <x:v>94</x:v>
      </x:c>
      <x:c r="D8" t="n">
        <x:v>2.5</x:v>
      </x:c>
      <x:c r="E8" t="n">
        <x:v>30</x:v>
      </x:c>
      <x:c r="F8" t="n">
        <x:v>0</x:v>
      </x:c>
      <x:c r="G8" t="n">
        <x:v>0.5</x:v>
      </x:c>
      <x:c r="H8" t="n">
        <x:v>101</x:v>
      </x:c>
      <x:c r="I8" t="n">
        <x:v>4</x:v>
      </x:c>
      <x:c r="J8" t="n">
        <x:v>97.5</x:v>
      </x:c>
      <x:c r="K8" t="n">
        <x:v>12</x:v>
      </x:c>
      <x:c r="L8" t="n">
        <x:v>461798.88</x:v>
      </x:c>
      <x:c r="M8" t="n">
        <x:v>460000</x:v>
      </x:c>
    </x:row>
    <x:row r="9">
      <x:c r="A9" t="str">
        <x:v>MecaParts</x:v>
      </x:c>
      <x:c r="B9" t="str">
        <x:v>Componentes mecánicos</x:v>
      </x:c>
      <x:c r="C9" t="n">
        <x:v>95</x:v>
      </x:c>
      <x:c r="D9" t="n">
        <x:v>1.5</x:v>
      </x:c>
      <x:c r="E9" t="n">
        <x:v>45</x:v>
      </x:c>
      <x:c r="F9" t="n">
        <x:v>1.5</x:v>
      </x:c>
      <x:c r="G9" t="n">
        <x:v>1.5</x:v>
      </x:c>
      <x:c r="H9" t="n">
        <x:v>98</x:v>
      </x:c>
      <x:c r="I9" t="n">
        <x:v>8</x:v>
      </x:c>
      <x:c r="J9" t="n">
        <x:v>98.5</x:v>
      </x:c>
      <x:c r="K9" t="n">
        <x:v>18</x:v>
      </x:c>
      <x:c r="L9" t="n">
        <x:v>965038.39</x:v>
      </x:c>
      <x:c r="M9" t="n">
        <x:v>960000</x:v>
      </x:c>
    </x:row>
    <x:row r="11">
      <x:c r="A11" s="11" t="str">
        <x:v>Fuente: 01_Datos_compras_y_proveedores.xlsx, hojas Contratos_SLA y Ofertas_Renovacion; Umbrales_descuento_TecnoFabril_Propuesta_2027.xlsx, filas 5:9.</x:v>
      </x:c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</x:row>
    <x:row r="12">
      <x:c r="A12" s="11" t="str">
        <x:v>El índice 100 es una referencia interna; no equivale a un precio en euros. No consta el importe del descuento adicional de PackPro.</x:v>
      </x:c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</x:row>
    <x:row r="13">
      <x:c r="A13" s="11" t="str">
        <x:v>MetalNova: el gasto elegible para el umbral comprende solo componentes mecánicos; la oferta no cubre expresamente materia prima.</x:v>
      </x:c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</x:row>
  </x:sheetData>
  <x:mergeCells>
    <x:mergeCell ref="A1:M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42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17" hidden="0" customWidth="1"/>
    <x:col min="12" max="12" width="17" hidden="0" customWidth="1"/>
  </x:cols>
  <x:sheetData>
    <x:row r="1">
      <x:c r="A1" s="4" t="str">
        <x:v>Entrega a tiempo por mes del pedido</x:v>
      </x:c>
    </x:row>
    <x:row r="2" ht="29" customHeight="1">
      <x:c r="G2" s="3" t="str">
        <x:v>Datos del gráfico · entrega a tiempo (%)</x:v>
      </x:c>
      <x:c r="H2" s="3"/>
      <x:c r="I2" s="3"/>
      <x:c r="J2" s="3"/>
      <x:c r="K2" s="3"/>
      <x:c r="L2" s="3"/>
    </x:row>
    <x:row r="3" ht="35" customHeight="1">
      <x:c r="A3" s="15" t="str">
        <x:v>Proveedor</x:v>
      </x:c>
      <x:c r="B3" s="15" t="str">
        <x:v>Julio (%)</x:v>
      </x:c>
      <x:c r="C3" s="15" t="str">
        <x:v>Agosto (%)</x:v>
      </x:c>
      <x:c r="D3" s="15" t="str">
        <x:v>Septiembre (%)</x:v>
      </x:c>
      <x:c r="E3" s="15" t="str">
        <x:v>Lectura</x:v>
      </x:c>
      <x:c r="G3" s="15" t="str">
        <x:v>Mes</x:v>
      </x:c>
      <x:c r="H3" s="15" t="str">
        <x:v>MetalNova</x:v>
      </x:c>
      <x:c r="I3" s="15" t="str">
        <x:v>PackPro</x:v>
      </x:c>
      <x:c r="J3" s="15" t="str">
        <x:v>ElectraSupply</x:v>
      </x:c>
      <x:c r="K3" s="15" t="str">
        <x:v>OfiPlus</x:v>
      </x:c>
      <x:c r="L3" s="15" t="str">
        <x:v>MecaParts</x:v>
      </x:c>
    </x:row>
    <x:row r="4" ht="31" customHeight="1">
      <x:c r="A4" s="20" t="str">
        <x:v>MetalNova</x:v>
      </x:c>
      <x:c r="B4" s="24" t="n">
        <x:v>41.8</x:v>
      </x:c>
      <x:c r="C4" s="24" t="n">
        <x:v>43.2</x:v>
      </x:c>
      <x:c r="D4" s="24" t="n">
        <x:v>53.6</x:v>
      </x:c>
      <x:c r="E4" s="26" t="str">
        <x:v>Incumplimiento persistente del SLA</x:v>
      </x:c>
      <x:c r="G4" s="20" t="str">
        <x:v>Julio</x:v>
      </x:c>
      <x:c r="H4" s="24" t="n">
        <x:v>41.8</x:v>
      </x:c>
      <x:c r="I4" s="24" t="n">
        <x:v>35.6</x:v>
      </x:c>
      <x:c r="J4" s="24" t="n">
        <x:v>6.7</x:v>
      </x:c>
      <x:c r="K4" s="24" t="n">
        <x:v>38.7</x:v>
      </x:c>
      <x:c r="L4" s="24" t="n">
        <x:v>49</x:v>
      </x:c>
    </x:row>
    <x:row r="5" ht="31" customHeight="1">
      <x:c r="A5" s="21" t="str">
        <x:v>PackPro</x:v>
      </x:c>
      <x:c r="B5" s="25" t="n">
        <x:v>35.6</x:v>
      </x:c>
      <x:c r="C5" s="25" t="n">
        <x:v>34.4</x:v>
      </x:c>
      <x:c r="D5" s="25" t="n">
        <x:v>43.5</x:v>
      </x:c>
      <x:c r="E5" s="27" t="str">
        <x:v>Incumplimiento persistente del SLA</x:v>
      </x:c>
      <x:c r="G5" s="21" t="str">
        <x:v>Agosto</x:v>
      </x:c>
      <x:c r="H5" s="25" t="n">
        <x:v>43.2</x:v>
      </x:c>
      <x:c r="I5" s="25" t="n">
        <x:v>34.4</x:v>
      </x:c>
      <x:c r="J5" s="25" t="n">
        <x:v>2.6</x:v>
      </x:c>
      <x:c r="K5" s="25" t="n">
        <x:v>50</x:v>
      </x:c>
      <x:c r="L5" s="25" t="n">
        <x:v>51.1</x:v>
      </x:c>
    </x:row>
    <x:row r="6" ht="31" customHeight="1">
      <x:c r="A6" s="20" t="str">
        <x:v>ElectraSupply</x:v>
      </x:c>
      <x:c r="B6" s="24" t="n">
        <x:v>6.7</x:v>
      </x:c>
      <x:c r="C6" s="24" t="n">
        <x:v>2.6</x:v>
      </x:c>
      <x:c r="D6" s="24" t="n">
        <x:v>0</x:v>
      </x:c>
      <x:c r="E6" s="26" t="str">
        <x:v>Rendimiento muy bajo los tres meses</x:v>
      </x:c>
      <x:c r="G6" s="20" t="str">
        <x:v>Septiembre</x:v>
      </x:c>
      <x:c r="H6" s="24" t="n">
        <x:v>53.6</x:v>
      </x:c>
      <x:c r="I6" s="24" t="n">
        <x:v>43.5</x:v>
      </x:c>
      <x:c r="J6" s="24" t="n">
        <x:v>0</x:v>
      </x:c>
      <x:c r="K6" s="24" t="n">
        <x:v>46.7</x:v>
      </x:c>
      <x:c r="L6" s="24" t="n">
        <x:v>13.3</x:v>
      </x:c>
    </x:row>
    <x:row r="7" ht="38" customHeight="1">
      <x:c r="A7" s="21" t="str">
        <x:v>OfiPlus</x:v>
      </x:c>
      <x:c r="B7" s="25" t="n">
        <x:v>38.7</x:v>
      </x:c>
      <x:c r="C7" s="25" t="n">
        <x:v>50</x:v>
      </x:c>
      <x:c r="D7" s="25" t="n">
        <x:v>46.7</x:v>
      </x:c>
      <x:c r="E7" s="27" t="str">
        <x:v>Incumplimiento persistente del SLA</x:v>
      </x:c>
    </x:row>
    <x:row r="8" ht="38" customHeight="1">
      <x:c r="A8" s="20" t="str">
        <x:v>MecaParts</x:v>
      </x:c>
      <x:c r="B8" s="24" t="n">
        <x:v>49</x:v>
      </x:c>
      <x:c r="C8" s="24" t="n">
        <x:v>51.1</x:v>
      </x:c>
      <x:c r="D8" s="24" t="n">
        <x:v>13.3</x:v>
      </x:c>
      <x:c r="E8" s="26" t="str">
        <x:v>Septiembre empeora de forma marcada</x:v>
      </x:c>
    </x:row>
  </x:sheetData>
  <x:mergeCells>
    <x:mergeCell ref="A1:E1"/>
    <x:mergeCell ref="G2:L2"/>
  </x:mergeCells>
  <x:pageMargins left="0.7" right="0.7" top="0.75" bottom="0.75" header="0.3" footer="0.3"/>
  <x:drawing xmlns:r="http://schemas.openxmlformats.org/officeDocument/2006/relationships" r:id="R2dc6b18589e64442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>
      <x:c r="A1" s="4" t="str">
        <x:v>Método, fuentes y límites</x:v>
      </x:c>
    </x:row>
    <x:row r="3" ht="42" customHeight="1">
      <x:c r="A3" s="11" t="str">
        <x:v>Fuente de pedidos</x:v>
      </x:c>
      <x:c r="B3" s="11" t="str">
        <x:v>01_Datos_compras_y_proveedores.xlsx, Pedidos, filas 2:601</x:v>
      </x:c>
    </x:row>
    <x:row r="4" ht="42" customHeight="1">
      <x:c r="A4" s="11" t="str">
        <x:v>Base de servicio</x:v>
      </x:c>
      <x:c r="B4" s="11" t="str">
        <x:v>Solo pedidos con Fecha_pedido y Fecha_recepcion del 01/07/2026 al 30/09/2026. Columna M = 1. Son 521.</x:v>
      </x:c>
    </x:row>
    <x:row r="5" ht="42" customHeight="1">
      <x:c r="A5" s="11" t="str">
        <x:v>Exclusiones</x:v>
      </x:c>
      <x:c r="B5" s="11" t="str">
        <x:v>45 recepciones 01–07/10 en columna Q; 34 posteriores en R. Las 79 no se usan en las tasas Q3.</x:v>
      </x:c>
    </x:row>
    <x:row r="6" ht="42" customHeight="1">
      <x:c r="A6" s="11" t="str">
        <x:v>Entrega a tiempo</x:v>
      </x:c>
      <x:c r="B6" s="11" t="str">
        <x:v>Suma de columna N / suma de M por proveedor * 100. Fecha_recepcion &lt;= Fecha_prevista.</x:v>
      </x:c>
    </x:row>
    <x:row r="7" ht="42" customHeight="1">
      <x:c r="A7" s="11" t="str">
        <x:v>Rechazo</x:v>
      </x:c>
      <x:c r="B7" s="11" t="str">
        <x:v>Unidades_rechazadas / Unidades de pedidos con M = 1 * 100. La fuente no aclara si Unidades son recibidas; confirmar.</x:v>
      </x:c>
    </x:row>
    <x:row r="8" ht="42" customHeight="1">
      <x:c r="A8" s="11" t="str">
        <x:v>Incidencias</x:v>
      </x:c>
      <x:c r="B8" s="11" t="str">
        <x:v>Suma de columna S / pedidos con M = 1. Cada pedido con etiqueta distinta de Ninguna cuenta una vez.</x:v>
      </x:c>
    </x:row>
    <x:row r="9" ht="42" customHeight="1">
      <x:c r="A9" s="11" t="str">
        <x:v>Urgentes tarde</x:v>
      </x:c>
      <x:c r="B9" s="11" t="str">
        <x:v>Pedidos urgentes de la base Q3 recibidos después de Fecha_prevista / urgentes de la base Q3.</x:v>
      </x:c>
    </x:row>
    <x:row r="10" ht="42" customHeight="1">
      <x:c r="A10" s="11" t="str">
        <x:v>Incidencias</x:v>
      </x:c>
      <x:c r="B10" s="11" t="str">
        <x:v>La etiqueta Incidencia no sustituye las fechas ni las unidades rechazadas; pueden no coincidir.</x:v>
      </x:c>
    </x:row>
    <x:row r="11" ht="42" customHeight="1">
      <x:c r="A11" s="11" t="str">
        <x:v>SLA y oferta</x:v>
      </x:c>
      <x:c r="B11" s="11" t="str">
        <x:v>01_Datos_compras_y_proveedores.xlsx, Contratos_SLA y Ofertas_Renovacion.</x:v>
      </x:c>
    </x:row>
    <x:row r="12" ht="42" customHeight="1">
      <x:c r="A12" s="11" t="str">
        <x:v>Umbrales</x:v>
      </x:c>
      <x:c r="B12" s="11" t="str">
        <x:v>Gasto de los 600 pedidos emitidos Q3, aunque se recibieran en octubre. MetalNova: solo componentes mecánicos. Fuente: Umbrales_descuento_TecnoFabril_Propuesta_2027.xlsx, filas 5:9. Propuesta, no contrato vigente.</x:v>
      </x:c>
    </x:row>
    <x:row r="13" ht="42" customHeight="1">
      <x:c r="A13" s="11" t="str">
        <x:v>Notas y política</x:v>
      </x:c>
      <x:c r="B13" s="11" t="str">
        <x:v>02_Briefing_Compras.docx; 03_Notas_internas.docx; 05_Politica_evaluacion_proveedores.pdf.</x:v>
      </x:c>
    </x:row>
    <x:row r="14" ht="42" customHeight="1">
      <x:c r="A14" s="11" t="str">
        <x:v>Límite comercial</x:v>
      </x:c>
      <x:c r="B14" s="11" t="str">
        <x:v>Índice de precio relativo sin base, producto ni tarifa identificada; no se calcula ahorro en euros.</x:v>
      </x:c>
    </x:row>
    <x:row r="15" ht="42" customHeight="1">
      <x:c r="A15" s="11" t="str">
        <x:v>Límite operativo</x:v>
      </x:c>
      <x:c r="B15" s="11" t="str">
        <x:v>No consta coste por día de retraso o unidad rechazada. La asociación no demuestra causalidad.</x:v>
      </x:c>
    </x:row>
    <x:row r="16" ht="42" customHeight="1">
      <x:c r="A16" s="11" t="str">
        <x:v>Límite temporal</x:v>
      </x:c>
      <x:c r="B16" s="11" t="str">
        <x:v>Las conclusiones de servicio, calidad e incidencias describen solo pedidos emitidos y recibidos dentro de Q3 2026.</x:v>
      </x:c>
    </x:row>
  </x:sheetData>
  <x:mergeCells>
    <x:mergeCell ref="A1:F1"/>
  </x:mergeCells>
  <x:pageMargins left="0.7" right="0.7" top="0.75" bottom="0.75" header="0.3" footer="0.3"/>
</x:worksheet>
</file>